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nft\Downloads\"/>
    </mc:Choice>
  </mc:AlternateContent>
  <xr:revisionPtr revIDLastSave="0" documentId="8_{5003157B-9901-4720-8618-7B57FCA685F1}" xr6:coauthVersionLast="47" xr6:coauthVersionMax="47" xr10:uidLastSave="{00000000-0000-0000-0000-000000000000}"/>
  <bookViews>
    <workbookView xWindow="0" yWindow="0" windowWidth="23040" windowHeight="12240" firstSheet="4" activeTab="8" xr2:uid="{452B4D46-F24F-4F18-814A-4FA23947C726}"/>
  </bookViews>
  <sheets>
    <sheet name="DATA" sheetId="3" r:id="rId1"/>
    <sheet name="ANALYSIS" sheetId="4" r:id="rId2"/>
    <sheet name="CHARTS" sheetId="5" r:id="rId3"/>
    <sheet name="CORRELATION" sheetId="13" r:id="rId4"/>
    <sheet name="PERIOD ANALYSIS" sheetId="18" r:id="rId5"/>
    <sheet name="GROWTH" sheetId="9" r:id="rId6"/>
    <sheet name="GROWTH CHARTS" sheetId="19" r:id="rId7"/>
    <sheet name="FISCAL STRESS SCORE" sheetId="11" r:id="rId8"/>
    <sheet name="FISCAL STRESS" sheetId="20" r:id="rId9"/>
  </sheet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4" l="1"/>
  <c r="E11" i="4"/>
  <c r="D11" i="4"/>
  <c r="C11" i="4"/>
  <c r="B11" i="4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" i="3"/>
  <c r="I16" i="20"/>
  <c r="I17" i="20"/>
  <c r="I18" i="20"/>
  <c r="I19" i="20"/>
  <c r="I15" i="20"/>
  <c r="H16" i="20"/>
  <c r="H17" i="20"/>
  <c r="H18" i="20"/>
  <c r="H19" i="20"/>
  <c r="H15" i="20"/>
  <c r="I6" i="20"/>
  <c r="I7" i="20"/>
  <c r="I8" i="20"/>
  <c r="I9" i="20"/>
  <c r="I5" i="20"/>
  <c r="H6" i="20"/>
  <c r="H7" i="20"/>
  <c r="H8" i="20"/>
  <c r="H9" i="20"/>
  <c r="H5" i="20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J24" i="11"/>
  <c r="I24" i="11"/>
  <c r="H24" i="11"/>
  <c r="J23" i="11"/>
  <c r="I23" i="11"/>
  <c r="H23" i="11"/>
  <c r="D32" i="9"/>
  <c r="D31" i="9"/>
  <c r="B32" i="9"/>
  <c r="B31" i="9"/>
  <c r="H9" i="9"/>
  <c r="I9" i="9" s="1"/>
  <c r="H10" i="9"/>
  <c r="H11" i="9"/>
  <c r="H12" i="9"/>
  <c r="H13" i="9"/>
  <c r="H14" i="9"/>
  <c r="I14" i="9" s="1"/>
  <c r="H15" i="9"/>
  <c r="H16" i="9"/>
  <c r="I16" i="9" s="1"/>
  <c r="H17" i="9"/>
  <c r="I17" i="9" s="1"/>
  <c r="H18" i="9"/>
  <c r="I18" i="9" s="1"/>
  <c r="H19" i="9"/>
  <c r="I19" i="9" s="1"/>
  <c r="H20" i="9"/>
  <c r="I20" i="9" s="1"/>
  <c r="H21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3" i="9"/>
  <c r="G9" i="4"/>
  <c r="G8" i="4"/>
  <c r="G7" i="4"/>
  <c r="G6" i="4"/>
  <c r="F9" i="4"/>
  <c r="F7" i="4"/>
  <c r="F6" i="4"/>
  <c r="E9" i="4"/>
  <c r="E7" i="4"/>
  <c r="E6" i="4"/>
  <c r="D9" i="4"/>
  <c r="D7" i="4"/>
  <c r="D6" i="4"/>
  <c r="C9" i="4"/>
  <c r="C7" i="4"/>
  <c r="C6" i="4"/>
  <c r="B9" i="4"/>
  <c r="B7" i="4"/>
  <c r="B6" i="4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" i="3"/>
  <c r="P3" i="3"/>
  <c r="P4" i="3"/>
  <c r="P5" i="3"/>
  <c r="P6" i="3"/>
  <c r="P7" i="3"/>
  <c r="P2" i="3"/>
  <c r="J8" i="3"/>
  <c r="P8" i="3" s="1"/>
  <c r="G8" i="3"/>
  <c r="G10" i="3"/>
  <c r="G11" i="3"/>
  <c r="G12" i="3"/>
  <c r="G13" i="3"/>
  <c r="G14" i="3"/>
  <c r="G15" i="3"/>
  <c r="G16" i="3"/>
  <c r="G17" i="3"/>
  <c r="G18" i="3"/>
  <c r="G19" i="3"/>
  <c r="G20" i="3"/>
  <c r="G21" i="3"/>
  <c r="G9" i="3"/>
  <c r="G3" i="3"/>
  <c r="G4" i="3"/>
  <c r="G5" i="3"/>
  <c r="G6" i="3"/>
  <c r="G7" i="3"/>
  <c r="G2" i="3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" i="11"/>
  <c r="D24" i="11"/>
  <c r="D23" i="11"/>
  <c r="C24" i="11"/>
  <c r="C23" i="11"/>
  <c r="B24" i="11"/>
  <c r="B23" i="11"/>
  <c r="A3" i="1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I4" i="9"/>
  <c r="I5" i="9"/>
  <c r="I6" i="9"/>
  <c r="I7" i="9"/>
  <c r="I8" i="9"/>
  <c r="I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3" i="9"/>
  <c r="H8" i="9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I12" i="9" l="1"/>
  <c r="I10" i="9"/>
  <c r="I21" i="9"/>
  <c r="I13" i="9"/>
  <c r="I15" i="9"/>
  <c r="I11" i="9"/>
  <c r="G5" i="4"/>
  <c r="G4" i="4"/>
  <c r="G2" i="4"/>
  <c r="F5" i="4"/>
  <c r="F4" i="4"/>
  <c r="F3" i="4"/>
  <c r="F2" i="4"/>
  <c r="E5" i="4"/>
  <c r="E4" i="4"/>
  <c r="E3" i="4"/>
  <c r="E2" i="4"/>
  <c r="D5" i="4"/>
  <c r="D4" i="4"/>
  <c r="D3" i="4"/>
  <c r="D2" i="4"/>
  <c r="C5" i="4"/>
  <c r="C4" i="4"/>
  <c r="C3" i="4"/>
  <c r="C2" i="4"/>
  <c r="B5" i="4"/>
  <c r="B4" i="4"/>
  <c r="B3" i="4"/>
  <c r="B2" i="4"/>
  <c r="O3" i="3"/>
  <c r="O4" i="3"/>
  <c r="O5" i="3"/>
  <c r="O6" i="3"/>
  <c r="O2" i="3"/>
  <c r="L3" i="3"/>
  <c r="L4" i="3"/>
  <c r="L5" i="3"/>
  <c r="L6" i="3"/>
  <c r="L7" i="3"/>
  <c r="L2" i="3"/>
  <c r="K3" i="3"/>
  <c r="K4" i="3"/>
  <c r="K5" i="3"/>
  <c r="K6" i="3"/>
  <c r="K7" i="3"/>
  <c r="K2" i="3"/>
  <c r="J21" i="3"/>
  <c r="J20" i="3"/>
  <c r="J19" i="3"/>
  <c r="J18" i="3"/>
  <c r="J17" i="3"/>
  <c r="J16" i="3"/>
  <c r="J15" i="3"/>
  <c r="J14" i="3"/>
  <c r="J13" i="3"/>
  <c r="P13" i="3" s="1"/>
  <c r="J12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J9" i="3"/>
  <c r="J11" i="3"/>
  <c r="J10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8" i="3"/>
  <c r="H7" i="3"/>
  <c r="L16" i="3" l="1"/>
  <c r="P16" i="3"/>
  <c r="L17" i="3"/>
  <c r="P17" i="3"/>
  <c r="L14" i="3"/>
  <c r="P14" i="3"/>
  <c r="L15" i="3"/>
  <c r="P15" i="3"/>
  <c r="G10" i="4"/>
  <c r="P21" i="3"/>
  <c r="K19" i="3"/>
  <c r="P19" i="3"/>
  <c r="K18" i="3"/>
  <c r="P18" i="3"/>
  <c r="L10" i="3"/>
  <c r="P10" i="3"/>
  <c r="L20" i="3"/>
  <c r="P20" i="3"/>
  <c r="K11" i="3"/>
  <c r="P11" i="3"/>
  <c r="K9" i="3"/>
  <c r="P9" i="3"/>
  <c r="K12" i="3"/>
  <c r="P12" i="3"/>
  <c r="O14" i="3"/>
  <c r="K10" i="3"/>
  <c r="O21" i="3"/>
  <c r="O9" i="3"/>
  <c r="L11" i="3"/>
  <c r="O20" i="3"/>
  <c r="L9" i="3"/>
  <c r="O12" i="3"/>
  <c r="O8" i="3"/>
  <c r="O10" i="3"/>
  <c r="K16" i="3"/>
  <c r="O13" i="3"/>
  <c r="O19" i="3"/>
  <c r="L21" i="3"/>
  <c r="C10" i="4"/>
  <c r="L12" i="3"/>
  <c r="K17" i="3"/>
  <c r="L18" i="3"/>
  <c r="K14" i="3"/>
  <c r="L13" i="3"/>
  <c r="E8" i="4"/>
  <c r="O11" i="3"/>
  <c r="K13" i="3"/>
  <c r="C8" i="4"/>
  <c r="O17" i="3"/>
  <c r="F10" i="4"/>
  <c r="K21" i="3"/>
  <c r="O16" i="3"/>
  <c r="O15" i="3"/>
  <c r="K20" i="3"/>
  <c r="K15" i="3"/>
  <c r="O7" i="3"/>
  <c r="O18" i="3"/>
  <c r="L8" i="3"/>
  <c r="L19" i="3"/>
  <c r="F8" i="4"/>
  <c r="B10" i="4"/>
  <c r="D8" i="4"/>
  <c r="D10" i="4"/>
  <c r="K8" i="3"/>
  <c r="B8" i="4"/>
  <c r="E10" i="4"/>
</calcChain>
</file>

<file path=xl/sharedStrings.xml><?xml version="1.0" encoding="utf-8"?>
<sst xmlns="http://schemas.openxmlformats.org/spreadsheetml/2006/main" count="152" uniqueCount="67">
  <si>
    <t>YEAR</t>
  </si>
  <si>
    <t>OWN TAX REVENUE</t>
  </si>
  <si>
    <t>OWN NON-TAX REVENUE</t>
  </si>
  <si>
    <t>REVENUE RECEIPT</t>
  </si>
  <si>
    <t>REVENUE EXPENDITURE</t>
  </si>
  <si>
    <t>GSDP</t>
  </si>
  <si>
    <t>REVENUE DEFICIT</t>
  </si>
  <si>
    <t>2005-2006</t>
  </si>
  <si>
    <t>VARIABLE</t>
  </si>
  <si>
    <t>MEAN</t>
  </si>
  <si>
    <t>MEDIAN</t>
  </si>
  <si>
    <t>SD</t>
  </si>
  <si>
    <t>MIN</t>
  </si>
  <si>
    <t>MAX</t>
  </si>
  <si>
    <t>CAGR</t>
  </si>
  <si>
    <t>PERIOD</t>
  </si>
  <si>
    <t>PRE-GST</t>
  </si>
  <si>
    <t>GST</t>
  </si>
  <si>
    <t>COVID</t>
  </si>
  <si>
    <t>RECOVERY</t>
  </si>
  <si>
    <t>GSDP GROWTH%</t>
  </si>
  <si>
    <t>2022-23</t>
  </si>
  <si>
    <t>2020-21</t>
  </si>
  <si>
    <t>2011-12</t>
  </si>
  <si>
    <t>2023-24</t>
  </si>
  <si>
    <t>2019-20</t>
  </si>
  <si>
    <t>HIGHEST GROWTH%</t>
  </si>
  <si>
    <t>LOWEST GROWTH %</t>
  </si>
  <si>
    <t>RR RATIO</t>
  </si>
  <si>
    <t>RE RATIO</t>
  </si>
  <si>
    <t>RD RATIO</t>
  </si>
  <si>
    <t>AVERAGE</t>
  </si>
  <si>
    <t>Z RR</t>
  </si>
  <si>
    <t>Z RE</t>
  </si>
  <si>
    <t>Z RD</t>
  </si>
  <si>
    <t>FISCAL STRESS SCORE</t>
  </si>
  <si>
    <t>RANK</t>
  </si>
  <si>
    <t>2014-15</t>
  </si>
  <si>
    <t>TOP 5 HIGHEST FISCAL STRESS YEARS</t>
  </si>
  <si>
    <t>TOP 5 LOWEST FISCAL STRESS YEARS</t>
  </si>
  <si>
    <t>CAPITAL EXPENDITURE</t>
  </si>
  <si>
    <t>TOTAL EXPENDITURE</t>
  </si>
  <si>
    <t>FISCAL DEFICIT</t>
  </si>
  <si>
    <t>GSDP AT CURRENT PRICES</t>
  </si>
  <si>
    <t>REVENUE RECEIPT RATIO</t>
  </si>
  <si>
    <t>CAPITAL EXP RATIO</t>
  </si>
  <si>
    <t>REVENUE EXP RATIO</t>
  </si>
  <si>
    <t>TOTAL EXP RATIO</t>
  </si>
  <si>
    <t>REVENUE DEFICIT RATIO</t>
  </si>
  <si>
    <t>FISCAL DEFICIT RATIO</t>
  </si>
  <si>
    <t>2007-08</t>
  </si>
  <si>
    <t>CE RATIO</t>
  </si>
  <si>
    <t>TE RATIO</t>
  </si>
  <si>
    <t>Z TE</t>
  </si>
  <si>
    <t>Z CE</t>
  </si>
  <si>
    <t>FD RATIO</t>
  </si>
  <si>
    <t>Z FD</t>
  </si>
  <si>
    <t>CAPITAL EXPENDITURE %</t>
  </si>
  <si>
    <t>REVENUE EXPENDITURE RATIO</t>
  </si>
  <si>
    <t>CAPITAL EXPENDITURE RATIO</t>
  </si>
  <si>
    <t>TOTAL EXPENDITURE RATIO</t>
  </si>
  <si>
    <t>CAPITAL EXPENDITURE AS % OF TOTAL EXPENDITURE</t>
  </si>
  <si>
    <t>OWN TAX REVENUE GROWTH%</t>
  </si>
  <si>
    <t>REVENUE RECEIPT GROWTH%</t>
  </si>
  <si>
    <t>REVENUE EXPENDITURE GROWTH%</t>
  </si>
  <si>
    <t>CAPITAL EXPENDITURE GROWTH %</t>
  </si>
  <si>
    <t>FISCAL DEFICIT GROWTH%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</si>
</sst>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0.0000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31F2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2" fontId="1" fillId="0" borderId="0" xfId="0" applyNumberFormat="1" applyFont="1" applyAlignment="1">
      <alignment horizontal="center" vertical="top" shrinkToFit="1"/>
    </xf>
    <xf numFmtId="2" fontId="2" fillId="0" borderId="0" xfId="0" applyNumberFormat="1" applyFont="1" applyAlignment="1">
      <alignment horizontal="center" vertical="top" shrinkToFit="1"/>
    </xf>
    <xf numFmtId="164" fontId="2" fillId="0" borderId="0" xfId="0" applyNumberFormat="1" applyFont="1" applyAlignment="1">
      <alignment horizontal="center" vertical="top" shrinkToFit="1"/>
    </xf>
    <xf numFmtId="2" fontId="0" fillId="0" borderId="0" xfId="0" applyNumberFormat="1" applyAlignment="1">
      <alignment horizontal="center" vertical="top"/>
    </xf>
    <xf numFmtId="2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0" fontId="0" fillId="0" borderId="1" xfId="0" applyBorder="1"/>
    <xf numFmtId="0" fontId="4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0" fillId="3" borderId="1" xfId="0" applyFill="1" applyBorder="1"/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165" fontId="0" fillId="0" borderId="0" xfId="0" applyNumberFormat="1"/>
    <xf numFmtId="166" fontId="0" fillId="0" borderId="0" xfId="0" applyNumberFormat="1"/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1">
    <dxf>
      <fill>
        <patternFill>
          <bgColor theme="5" tint="0.3999450666829432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1" defaultTableStyle="TableStyleMedium2" defaultPivotStyle="PivotStyleLight16">
    <tableStyle name="PivotTable Style 1" table="0" count="1" xr9:uid="{E3B1793A-FFE3-450E-A6E0-6CA717C18246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b="1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Trend in Revenue Receipt and Total Expenditure in Kerala (2005–2025)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DATA!$D$1</c:f>
              <c:strCache>
                <c:ptCount val="1"/>
                <c:pt idx="0">
                  <c:v>REVENUE RECEIPT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DATA!$A$2:$A$21</c:f>
              <c:strCache>
                <c:ptCount val="20"/>
                <c:pt idx="0">
                  <c:v>2005-2006</c:v>
                </c:pt>
                <c:pt idx="1">
                  <c:v>2006-2007</c:v>
                </c:pt>
                <c:pt idx="2">
                  <c:v>2007-2008</c:v>
                </c:pt>
                <c:pt idx="3">
                  <c:v>2008-2009</c:v>
                </c:pt>
                <c:pt idx="4">
                  <c:v>2009-2010</c:v>
                </c:pt>
                <c:pt idx="5">
                  <c:v>2010-2011</c:v>
                </c:pt>
                <c:pt idx="6">
                  <c:v>2011-2012</c:v>
                </c:pt>
                <c:pt idx="7">
                  <c:v>2012-2013</c:v>
                </c:pt>
                <c:pt idx="8">
                  <c:v>2013-2014</c:v>
                </c:pt>
                <c:pt idx="9">
                  <c:v>2014-2015</c:v>
                </c:pt>
                <c:pt idx="10">
                  <c:v>2015-2016</c:v>
                </c:pt>
                <c:pt idx="11">
                  <c:v>2016-2017</c:v>
                </c:pt>
                <c:pt idx="12">
                  <c:v>2017-2018</c:v>
                </c:pt>
                <c:pt idx="13">
                  <c:v>2018-2019</c:v>
                </c:pt>
                <c:pt idx="14">
                  <c:v>2019-2020</c:v>
                </c:pt>
                <c:pt idx="15">
                  <c:v>2020-2021</c:v>
                </c:pt>
                <c:pt idx="16">
                  <c:v>2021-2022</c:v>
                </c:pt>
                <c:pt idx="17">
                  <c:v>2022-2023</c:v>
                </c:pt>
                <c:pt idx="18">
                  <c:v>2023-2024</c:v>
                </c:pt>
                <c:pt idx="19">
                  <c:v>2024-2025</c:v>
                </c:pt>
              </c:strCache>
            </c:strRef>
          </c:cat>
          <c:val>
            <c:numRef>
              <c:f>DATA!$D$2:$D$21</c:f>
              <c:numCache>
                <c:formatCode>0.00</c:formatCode>
                <c:ptCount val="20"/>
                <c:pt idx="0">
                  <c:v>15294.52</c:v>
                </c:pt>
                <c:pt idx="1">
                  <c:v>18186.62</c:v>
                </c:pt>
                <c:pt idx="2">
                  <c:v>21106.79</c:v>
                </c:pt>
                <c:pt idx="3">
                  <c:v>24512.18</c:v>
                </c:pt>
                <c:pt idx="4">
                  <c:v>26109.4</c:v>
                </c:pt>
                <c:pt idx="5">
                  <c:v>30990.95</c:v>
                </c:pt>
                <c:pt idx="6">
                  <c:v>38010.36</c:v>
                </c:pt>
                <c:pt idx="7">
                  <c:v>44137.31</c:v>
                </c:pt>
                <c:pt idx="8">
                  <c:v>49176.94</c:v>
                </c:pt>
                <c:pt idx="9">
                  <c:v>57950.47</c:v>
                </c:pt>
                <c:pt idx="10">
                  <c:v>69032.66</c:v>
                </c:pt>
                <c:pt idx="11">
                  <c:v>75611.72</c:v>
                </c:pt>
                <c:pt idx="12">
                  <c:v>83020.14</c:v>
                </c:pt>
                <c:pt idx="13">
                  <c:v>92854.47</c:v>
                </c:pt>
                <c:pt idx="14">
                  <c:v>90224.67</c:v>
                </c:pt>
                <c:pt idx="15">
                  <c:v>97616.83</c:v>
                </c:pt>
                <c:pt idx="16">
                  <c:v>116640.24</c:v>
                </c:pt>
                <c:pt idx="17">
                  <c:v>132724.65</c:v>
                </c:pt>
                <c:pt idx="18">
                  <c:v>124486.15</c:v>
                </c:pt>
                <c:pt idx="19" formatCode="General">
                  <c:v>124861.07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86-46BB-B316-9E6D7240C8B5}"/>
            </c:ext>
          </c:extLst>
        </c:ser>
        <c:ser>
          <c:idx val="5"/>
          <c:order val="5"/>
          <c:tx>
            <c:strRef>
              <c:f>DATA!$G$1</c:f>
              <c:strCache>
                <c:ptCount val="1"/>
                <c:pt idx="0">
                  <c:v>TOTAL EXPENDITURE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DATA!$A$2:$A$21</c:f>
              <c:strCache>
                <c:ptCount val="20"/>
                <c:pt idx="0">
                  <c:v>2005-2006</c:v>
                </c:pt>
                <c:pt idx="1">
                  <c:v>2006-2007</c:v>
                </c:pt>
                <c:pt idx="2">
                  <c:v>2007-2008</c:v>
                </c:pt>
                <c:pt idx="3">
                  <c:v>2008-2009</c:v>
                </c:pt>
                <c:pt idx="4">
                  <c:v>2009-2010</c:v>
                </c:pt>
                <c:pt idx="5">
                  <c:v>2010-2011</c:v>
                </c:pt>
                <c:pt idx="6">
                  <c:v>2011-2012</c:v>
                </c:pt>
                <c:pt idx="7">
                  <c:v>2012-2013</c:v>
                </c:pt>
                <c:pt idx="8">
                  <c:v>2013-2014</c:v>
                </c:pt>
                <c:pt idx="9">
                  <c:v>2014-2015</c:v>
                </c:pt>
                <c:pt idx="10">
                  <c:v>2015-2016</c:v>
                </c:pt>
                <c:pt idx="11">
                  <c:v>2016-2017</c:v>
                </c:pt>
                <c:pt idx="12">
                  <c:v>2017-2018</c:v>
                </c:pt>
                <c:pt idx="13">
                  <c:v>2018-2019</c:v>
                </c:pt>
                <c:pt idx="14">
                  <c:v>2019-2020</c:v>
                </c:pt>
                <c:pt idx="15">
                  <c:v>2020-2021</c:v>
                </c:pt>
                <c:pt idx="16">
                  <c:v>2021-2022</c:v>
                </c:pt>
                <c:pt idx="17">
                  <c:v>2022-2023</c:v>
                </c:pt>
                <c:pt idx="18">
                  <c:v>2023-2024</c:v>
                </c:pt>
                <c:pt idx="19">
                  <c:v>2024-2025</c:v>
                </c:pt>
              </c:strCache>
            </c:strRef>
          </c:cat>
          <c:val>
            <c:numRef>
              <c:f>DATA!$G$2:$G$21</c:f>
              <c:numCache>
                <c:formatCode>0.00</c:formatCode>
                <c:ptCount val="20"/>
                <c:pt idx="0">
                  <c:v>19527.640000000003</c:v>
                </c:pt>
                <c:pt idx="1">
                  <c:v>22076.54</c:v>
                </c:pt>
                <c:pt idx="2">
                  <c:v>27259.379999999997</c:v>
                </c:pt>
                <c:pt idx="3">
                  <c:v>30903.14</c:v>
                </c:pt>
                <c:pt idx="4">
                  <c:v>34068.44</c:v>
                </c:pt>
                <c:pt idx="5">
                  <c:v>38790.239999999998</c:v>
                </c:pt>
                <c:pt idx="6">
                  <c:v>50896.08</c:v>
                </c:pt>
                <c:pt idx="7">
                  <c:v>59228.18</c:v>
                </c:pt>
                <c:pt idx="8">
                  <c:v>66244</c:v>
                </c:pt>
                <c:pt idx="9">
                  <c:v>76744.109999999986</c:v>
                </c:pt>
                <c:pt idx="10">
                  <c:v>87031.760000000009</c:v>
                </c:pt>
                <c:pt idx="11">
                  <c:v>102382.56</c:v>
                </c:pt>
                <c:pt idx="12">
                  <c:v>110237.81</c:v>
                </c:pt>
                <c:pt idx="13">
                  <c:v>120069.82</c:v>
                </c:pt>
                <c:pt idx="14">
                  <c:v>114384.94</c:v>
                </c:pt>
                <c:pt idx="15">
                  <c:v>138884.49</c:v>
                </c:pt>
                <c:pt idx="16">
                  <c:v>163225.53</c:v>
                </c:pt>
                <c:pt idx="17">
                  <c:v>158738.43</c:v>
                </c:pt>
                <c:pt idx="18">
                  <c:v>159506.51</c:v>
                </c:pt>
                <c:pt idx="19">
                  <c:v>173807.56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86-46BB-B316-9E6D7240C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507280064"/>
        <c:axId val="5072805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DATA!$B$1</c15:sqref>
                        </c15:formulaRef>
                      </c:ext>
                    </c:extLst>
                    <c:strCache>
                      <c:ptCount val="1"/>
                      <c:pt idx="0">
                        <c:v>OWN 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DATA!$B$2:$B$21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9779.64</c:v>
                      </c:pt>
                      <c:pt idx="1">
                        <c:v>11941.82</c:v>
                      </c:pt>
                      <c:pt idx="2">
                        <c:v>13668.95</c:v>
                      </c:pt>
                      <c:pt idx="3">
                        <c:v>15990.18</c:v>
                      </c:pt>
                      <c:pt idx="4">
                        <c:v>17625.02</c:v>
                      </c:pt>
                      <c:pt idx="5">
                        <c:v>21721.69</c:v>
                      </c:pt>
                      <c:pt idx="6" formatCode="0.0">
                        <c:v>25718.6</c:v>
                      </c:pt>
                      <c:pt idx="7">
                        <c:v>30076.61</c:v>
                      </c:pt>
                      <c:pt idx="8">
                        <c:v>31995.02</c:v>
                      </c:pt>
                      <c:pt idx="9" formatCode="0.0">
                        <c:v>35232.5</c:v>
                      </c:pt>
                      <c:pt idx="10">
                        <c:v>38995.15</c:v>
                      </c:pt>
                      <c:pt idx="11">
                        <c:v>42176.38</c:v>
                      </c:pt>
                      <c:pt idx="12">
                        <c:v>46459.61</c:v>
                      </c:pt>
                      <c:pt idx="13" formatCode="0.0">
                        <c:v>50644.1</c:v>
                      </c:pt>
                      <c:pt idx="14">
                        <c:v>50323.14</c:v>
                      </c:pt>
                      <c:pt idx="15">
                        <c:v>47660.84</c:v>
                      </c:pt>
                      <c:pt idx="16">
                        <c:v>58340.52</c:v>
                      </c:pt>
                      <c:pt idx="17">
                        <c:v>71968.160000000003</c:v>
                      </c:pt>
                      <c:pt idx="18">
                        <c:v>74329.009999999995</c:v>
                      </c:pt>
                      <c:pt idx="19" formatCode="General">
                        <c:v>76642.2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4D3-4DC8-BD15-9CAD9B705E2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DATA!$C$1</c15:sqref>
                        </c15:formulaRef>
                      </c:ext>
                    </c:extLst>
                    <c:strCache>
                      <c:ptCount val="1"/>
                      <c:pt idx="0">
                        <c:v>OWN NON-TAX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DATA!$C$2:$C$21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936.77</c:v>
                      </c:pt>
                      <c:pt idx="1">
                        <c:v>937.57</c:v>
                      </c:pt>
                      <c:pt idx="2">
                        <c:v>1209.55</c:v>
                      </c:pt>
                      <c:pt idx="3">
                        <c:v>1559.29</c:v>
                      </c:pt>
                      <c:pt idx="4">
                        <c:v>1852.22</c:v>
                      </c:pt>
                      <c:pt idx="5">
                        <c:v>1930.79</c:v>
                      </c:pt>
                      <c:pt idx="6">
                        <c:v>2592.1799999999998</c:v>
                      </c:pt>
                      <c:pt idx="7">
                        <c:v>4198.5200000000004</c:v>
                      </c:pt>
                      <c:pt idx="8">
                        <c:v>5575.03</c:v>
                      </c:pt>
                      <c:pt idx="9">
                        <c:v>7283.69</c:v>
                      </c:pt>
                      <c:pt idx="10">
                        <c:v>8425.49</c:v>
                      </c:pt>
                      <c:pt idx="11">
                        <c:v>9699.98</c:v>
                      </c:pt>
                      <c:pt idx="12">
                        <c:v>11199.61</c:v>
                      </c:pt>
                      <c:pt idx="13">
                        <c:v>11783.24</c:v>
                      </c:pt>
                      <c:pt idx="14">
                        <c:v>12265.22</c:v>
                      </c:pt>
                      <c:pt idx="15">
                        <c:v>7327.31</c:v>
                      </c:pt>
                      <c:pt idx="16">
                        <c:v>10462.51</c:v>
                      </c:pt>
                      <c:pt idx="17">
                        <c:v>15117.96</c:v>
                      </c:pt>
                      <c:pt idx="18">
                        <c:v>16345.96</c:v>
                      </c:pt>
                      <c:pt idx="19" formatCode="General">
                        <c:v>16486.62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786-46BB-B316-9E6D7240C8B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DATA!$E$2:$E$21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18423.580000000002</c:v>
                      </c:pt>
                      <c:pt idx="1">
                        <c:v>20824.57</c:v>
                      </c:pt>
                      <c:pt idx="2">
                        <c:v>24891.64</c:v>
                      </c:pt>
                      <c:pt idx="3">
                        <c:v>28223.85</c:v>
                      </c:pt>
                      <c:pt idx="4">
                        <c:v>31132.38</c:v>
                      </c:pt>
                      <c:pt idx="5">
                        <c:v>34664.81</c:v>
                      </c:pt>
                      <c:pt idx="6">
                        <c:v>46044.62</c:v>
                      </c:pt>
                      <c:pt idx="7">
                        <c:v>53488.74</c:v>
                      </c:pt>
                      <c:pt idx="8">
                        <c:v>60485.5</c:v>
                      </c:pt>
                      <c:pt idx="9">
                        <c:v>71746.429999999993</c:v>
                      </c:pt>
                      <c:pt idx="10">
                        <c:v>78689.47</c:v>
                      </c:pt>
                      <c:pt idx="11">
                        <c:v>91096.31</c:v>
                      </c:pt>
                      <c:pt idx="12">
                        <c:v>99948.35</c:v>
                      </c:pt>
                      <c:pt idx="13">
                        <c:v>110316.39</c:v>
                      </c:pt>
                      <c:pt idx="14">
                        <c:v>104719.92</c:v>
                      </c:pt>
                      <c:pt idx="15">
                        <c:v>123446.33</c:v>
                      </c:pt>
                      <c:pt idx="16">
                        <c:v>146179.51</c:v>
                      </c:pt>
                      <c:pt idx="17">
                        <c:v>141950.94</c:v>
                      </c:pt>
                      <c:pt idx="18">
                        <c:v>142626.34</c:v>
                      </c:pt>
                      <c:pt idx="19" formatCode="General">
                        <c:v>155920.79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786-46BB-B316-9E6D7240C8B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DATA!$F$1</c15:sqref>
                        </c15:formulaRef>
                      </c:ext>
                    </c:extLst>
                    <c:strCache>
                      <c:ptCount val="1"/>
                      <c:pt idx="0">
                        <c:v>CAPITAL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DATA!$F$2:$F$21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1104.06</c:v>
                      </c:pt>
                      <c:pt idx="1">
                        <c:v>1251.97</c:v>
                      </c:pt>
                      <c:pt idx="2">
                        <c:v>2367.7399999999998</c:v>
                      </c:pt>
                      <c:pt idx="3">
                        <c:v>2679.29</c:v>
                      </c:pt>
                      <c:pt idx="4">
                        <c:v>2936.06</c:v>
                      </c:pt>
                      <c:pt idx="5">
                        <c:v>4125.43</c:v>
                      </c:pt>
                      <c:pt idx="6">
                        <c:v>4851.46</c:v>
                      </c:pt>
                      <c:pt idx="7">
                        <c:v>5739.44</c:v>
                      </c:pt>
                      <c:pt idx="8">
                        <c:v>5758.5</c:v>
                      </c:pt>
                      <c:pt idx="9">
                        <c:v>4997.68</c:v>
                      </c:pt>
                      <c:pt idx="10">
                        <c:v>8342.2900000000009</c:v>
                      </c:pt>
                      <c:pt idx="11">
                        <c:v>11286.25</c:v>
                      </c:pt>
                      <c:pt idx="12">
                        <c:v>10289.459999999999</c:v>
                      </c:pt>
                      <c:pt idx="13">
                        <c:v>9753.43</c:v>
                      </c:pt>
                      <c:pt idx="14">
                        <c:v>9665.02</c:v>
                      </c:pt>
                      <c:pt idx="15">
                        <c:v>15438.16</c:v>
                      </c:pt>
                      <c:pt idx="16">
                        <c:v>17046.02</c:v>
                      </c:pt>
                      <c:pt idx="17">
                        <c:v>16787.490000000002</c:v>
                      </c:pt>
                      <c:pt idx="18">
                        <c:v>16880.169999999998</c:v>
                      </c:pt>
                      <c:pt idx="19" formatCode="General">
                        <c:v>17886.77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786-46BB-B316-9E6D7240C8B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DATA!$H$1</c15:sqref>
                        </c15:formulaRef>
                      </c:ext>
                    </c:extLst>
                    <c:strCache>
                      <c:ptCount val="1"/>
                      <c:pt idx="0">
                        <c:v>REVENUE DEFICIT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DATA!$H$2:$H$21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3129.15</c:v>
                      </c:pt>
                      <c:pt idx="1">
                        <c:v>2637.95</c:v>
                      </c:pt>
                      <c:pt idx="2">
                        <c:v>3784.84</c:v>
                      </c:pt>
                      <c:pt idx="3">
                        <c:v>3711.67</c:v>
                      </c:pt>
                      <c:pt idx="4">
                        <c:v>5022.97</c:v>
                      </c:pt>
                      <c:pt idx="5">
                        <c:v>3673.8599999999969</c:v>
                      </c:pt>
                      <c:pt idx="6">
                        <c:v>8034.260000000002</c:v>
                      </c:pt>
                      <c:pt idx="7">
                        <c:v>9351.43</c:v>
                      </c:pt>
                      <c:pt idx="8">
                        <c:v>11308.559999999998</c:v>
                      </c:pt>
                      <c:pt idx="9">
                        <c:v>13795.959999999992</c:v>
                      </c:pt>
                      <c:pt idx="10">
                        <c:v>9656.8099999999977</c:v>
                      </c:pt>
                      <c:pt idx="11">
                        <c:v>15484.589999999997</c:v>
                      </c:pt>
                      <c:pt idx="12">
                        <c:v>16928.210000000006</c:v>
                      </c:pt>
                      <c:pt idx="13">
                        <c:v>17461.919999999998</c:v>
                      </c:pt>
                      <c:pt idx="14">
                        <c:v>14495.25</c:v>
                      </c:pt>
                      <c:pt idx="15">
                        <c:v>25829.5</c:v>
                      </c:pt>
                      <c:pt idx="16">
                        <c:v>29539.270000000004</c:v>
                      </c:pt>
                      <c:pt idx="17">
                        <c:v>9226.2900000000081</c:v>
                      </c:pt>
                      <c:pt idx="18">
                        <c:v>18140.190000000002</c:v>
                      </c:pt>
                      <c:pt idx="19">
                        <c:v>31059.72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786-46BB-B316-9E6D7240C8B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DATA!$I$1</c15:sqref>
                        </c15:formulaRef>
                      </c:ext>
                    </c:extLst>
                    <c:strCache>
                      <c:ptCount val="1"/>
                      <c:pt idx="0">
                        <c:v>FISCAL DEFICIT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DATA!$I$2:$I$21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4181.72</c:v>
                      </c:pt>
                      <c:pt idx="1">
                        <c:v>3821.87</c:v>
                      </c:pt>
                      <c:pt idx="2">
                        <c:v>6100.21</c:v>
                      </c:pt>
                      <c:pt idx="3">
                        <c:v>6346.21</c:v>
                      </c:pt>
                      <c:pt idx="4">
                        <c:v>7871.6</c:v>
                      </c:pt>
                      <c:pt idx="5">
                        <c:v>7730.46</c:v>
                      </c:pt>
                      <c:pt idx="6">
                        <c:v>12814.77</c:v>
                      </c:pt>
                      <c:pt idx="7">
                        <c:v>15002.47</c:v>
                      </c:pt>
                      <c:pt idx="8">
                        <c:v>16944.12</c:v>
                      </c:pt>
                      <c:pt idx="9">
                        <c:v>18641.73</c:v>
                      </c:pt>
                      <c:pt idx="10">
                        <c:v>17818.39</c:v>
                      </c:pt>
                      <c:pt idx="11">
                        <c:v>26448.35</c:v>
                      </c:pt>
                      <c:pt idx="12">
                        <c:v>26837.41</c:v>
                      </c:pt>
                      <c:pt idx="13">
                        <c:v>26958.3</c:v>
                      </c:pt>
                      <c:pt idx="14">
                        <c:v>23837.48</c:v>
                      </c:pt>
                      <c:pt idx="15">
                        <c:v>35203.69</c:v>
                      </c:pt>
                      <c:pt idx="16">
                        <c:v>37306.47</c:v>
                      </c:pt>
                      <c:pt idx="17">
                        <c:v>25554.54</c:v>
                      </c:pt>
                      <c:pt idx="18">
                        <c:v>34258.050000000003</c:v>
                      </c:pt>
                      <c:pt idx="19">
                        <c:v>48248.14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786-46BB-B316-9E6D7240C8B5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DATA!$J$1</c15:sqref>
                        </c15:formulaRef>
                      </c:ext>
                    </c:extLst>
                    <c:strCache>
                      <c:ptCount val="1"/>
                      <c:pt idx="0">
                        <c:v>GSDP AT CURRENT PRICES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DATA!$J$2:$J$21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124389.42</c:v>
                      </c:pt>
                      <c:pt idx="1">
                        <c:v>142470.04</c:v>
                      </c:pt>
                      <c:pt idx="2">
                        <c:v>175141.08</c:v>
                      </c:pt>
                      <c:pt idx="3">
                        <c:v>201019.75</c:v>
                      </c:pt>
                      <c:pt idx="4">
                        <c:v>230315.55</c:v>
                      </c:pt>
                      <c:pt idx="5">
                        <c:v>276996.7</c:v>
                      </c:pt>
                      <c:pt idx="6">
                        <c:v>364047.88</c:v>
                      </c:pt>
                      <c:pt idx="7">
                        <c:v>412313</c:v>
                      </c:pt>
                      <c:pt idx="8">
                        <c:v>465041.21</c:v>
                      </c:pt>
                      <c:pt idx="9">
                        <c:v>512564.05</c:v>
                      </c:pt>
                      <c:pt idx="10">
                        <c:v>561993.61</c:v>
                      </c:pt>
                      <c:pt idx="11">
                        <c:v>634886.40000000002</c:v>
                      </c:pt>
                      <c:pt idx="12">
                        <c:v>701588.26</c:v>
                      </c:pt>
                      <c:pt idx="13">
                        <c:v>788285.58</c:v>
                      </c:pt>
                      <c:pt idx="14">
                        <c:v>812934.63</c:v>
                      </c:pt>
                      <c:pt idx="15">
                        <c:v>771723.89</c:v>
                      </c:pt>
                      <c:pt idx="16">
                        <c:v>924465.42</c:v>
                      </c:pt>
                      <c:pt idx="17">
                        <c:v>1038734.06</c:v>
                      </c:pt>
                      <c:pt idx="18">
                        <c:v>1135371.56</c:v>
                      </c:pt>
                      <c:pt idx="19">
                        <c:v>1248533.01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786-46BB-B316-9E6D7240C8B5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DATA!$K$1</c15:sqref>
                        </c15:formulaRef>
                      </c:ext>
                    </c:extLst>
                    <c:strCache>
                      <c:ptCount val="1"/>
                      <c:pt idx="0">
                        <c:v>REVENUE RECEIPT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DATA!$K$2:$K$21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12.29567595057522</c:v>
                      </c:pt>
                      <c:pt idx="1">
                        <c:v>12.765224183273899</c:v>
                      </c:pt>
                      <c:pt idx="2">
                        <c:v>12.051307437409889</c:v>
                      </c:pt>
                      <c:pt idx="3">
                        <c:v>12.193916269421289</c:v>
                      </c:pt>
                      <c:pt idx="4">
                        <c:v>11.336360050374369</c:v>
                      </c:pt>
                      <c:pt idx="5">
                        <c:v>11.188201881105444</c:v>
                      </c:pt>
                      <c:pt idx="6">
                        <c:v>10.441033195963124</c:v>
                      </c:pt>
                      <c:pt idx="7">
                        <c:v>10.704806785136533</c:v>
                      </c:pt>
                      <c:pt idx="8">
                        <c:v>10.57474884860204</c:v>
                      </c:pt>
                      <c:pt idx="9">
                        <c:v>11.305995806767955</c:v>
                      </c:pt>
                      <c:pt idx="10">
                        <c:v>12.283531124135024</c:v>
                      </c:pt>
                      <c:pt idx="11">
                        <c:v>11.909488059596175</c:v>
                      </c:pt>
                      <c:pt idx="12">
                        <c:v>11.833171210704124</c:v>
                      </c:pt>
                      <c:pt idx="13">
                        <c:v>11.779293235327229</c:v>
                      </c:pt>
                      <c:pt idx="14">
                        <c:v>11.098637783458678</c:v>
                      </c:pt>
                      <c:pt idx="15">
                        <c:v>12.649191150477407</c:v>
                      </c:pt>
                      <c:pt idx="16">
                        <c:v>12.617047374254408</c:v>
                      </c:pt>
                      <c:pt idx="17">
                        <c:v>12.77753903631503</c:v>
                      </c:pt>
                      <c:pt idx="18">
                        <c:v>10.964353378730042</c:v>
                      </c:pt>
                      <c:pt idx="19">
                        <c:v>10.000622250267938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786-46BB-B316-9E6D7240C8B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DATA!$L$2:$L$21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14.811211435827904</c:v>
                      </c:pt>
                      <c:pt idx="1">
                        <c:v>14.616806452781228</c:v>
                      </c:pt>
                      <c:pt idx="2">
                        <c:v>14.212336705928729</c:v>
                      </c:pt>
                      <c:pt idx="3">
                        <c:v>14.040336832574907</c:v>
                      </c:pt>
                      <c:pt idx="4">
                        <c:v>13.5172722814417</c:v>
                      </c:pt>
                      <c:pt idx="5">
                        <c:v>12.514520931115786</c:v>
                      </c:pt>
                      <c:pt idx="6">
                        <c:v>12.64795718629099</c:v>
                      </c:pt>
                      <c:pt idx="7">
                        <c:v>12.972848297288712</c:v>
                      </c:pt>
                      <c:pt idx="8">
                        <c:v>13.006481726640956</c:v>
                      </c:pt>
                      <c:pt idx="9">
                        <c:v>13.997554061780178</c:v>
                      </c:pt>
                      <c:pt idx="10">
                        <c:v>14.00184425584483</c:v>
                      </c:pt>
                      <c:pt idx="11">
                        <c:v>14.348442493019222</c:v>
                      </c:pt>
                      <c:pt idx="12">
                        <c:v>14.246012326375018</c:v>
                      </c:pt>
                      <c:pt idx="13">
                        <c:v>13.994470125915534</c:v>
                      </c:pt>
                      <c:pt idx="14">
                        <c:v>12.881714732708582</c:v>
                      </c:pt>
                      <c:pt idx="15">
                        <c:v>15.99617837410735</c:v>
                      </c:pt>
                      <c:pt idx="16">
                        <c:v>15.812328599592185</c:v>
                      </c:pt>
                      <c:pt idx="17">
                        <c:v>13.665763496770289</c:v>
                      </c:pt>
                      <c:pt idx="18">
                        <c:v>12.562084961860414</c:v>
                      </c:pt>
                      <c:pt idx="19">
                        <c:v>12.488319391731581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786-46BB-B316-9E6D7240C8B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DATA!$M$1</c15:sqref>
                        </c15:formulaRef>
                      </c:ext>
                    </c:extLst>
                    <c:strCache>
                      <c:ptCount val="1"/>
                      <c:pt idx="0">
                        <c:v>CAPITAL EXPENDITURE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DATA!$M$2:$M$21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0.88758352599441326</c:v>
                      </c:pt>
                      <c:pt idx="1">
                        <c:v>0.87876019407308359</c:v>
                      </c:pt>
                      <c:pt idx="2">
                        <c:v>1.3519044189975304</c:v>
                      </c:pt>
                      <c:pt idx="3">
                        <c:v>1.3328491354705196</c:v>
                      </c:pt>
                      <c:pt idx="4">
                        <c:v>1.2747988574805307</c:v>
                      </c:pt>
                      <c:pt idx="5">
                        <c:v>1.4893426528186076</c:v>
                      </c:pt>
                      <c:pt idx="6">
                        <c:v>1.3326433874577157</c:v>
                      </c:pt>
                      <c:pt idx="7">
                        <c:v>1.3920104386715917</c:v>
                      </c:pt>
                      <c:pt idx="8">
                        <c:v>1.2382773561078597</c:v>
                      </c:pt>
                      <c:pt idx="9">
                        <c:v>0.97503521754988487</c:v>
                      </c:pt>
                      <c:pt idx="10">
                        <c:v>1.4844101163356647</c:v>
                      </c:pt>
                      <c:pt idx="11">
                        <c:v>1.7776802275178676</c:v>
                      </c:pt>
                      <c:pt idx="12">
                        <c:v>1.4665952363570049</c:v>
                      </c:pt>
                      <c:pt idx="13">
                        <c:v>1.2372965137837484</c:v>
                      </c:pt>
                      <c:pt idx="14">
                        <c:v>1.1889049430702687</c:v>
                      </c:pt>
                      <c:pt idx="15">
                        <c:v>2.0004771395634777</c:v>
                      </c:pt>
                      <c:pt idx="16">
                        <c:v>1.8438785952642773</c:v>
                      </c:pt>
                      <c:pt idx="17">
                        <c:v>1.6161489881250262</c:v>
                      </c:pt>
                      <c:pt idx="18">
                        <c:v>1.4867529357525915</c:v>
                      </c:pt>
                      <c:pt idx="19">
                        <c:v>1.4326229147918164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786-46BB-B316-9E6D7240C8B5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DATA!$N$1</c15:sqref>
                        </c15:formulaRef>
                      </c:ext>
                    </c:extLst>
                    <c:strCache>
                      <c:ptCount val="1"/>
                      <c:pt idx="0">
                        <c:v>TOTAL EXPENDITURE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DATA!$N$2:$N$21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15.698794961822319</c:v>
                      </c:pt>
                      <c:pt idx="1">
                        <c:v>15.495566646854314</c:v>
                      </c:pt>
                      <c:pt idx="2">
                        <c:v>15.564241124926259</c:v>
                      </c:pt>
                      <c:pt idx="3">
                        <c:v>15.373185968045428</c:v>
                      </c:pt>
                      <c:pt idx="4">
                        <c:v>14.792071138922234</c:v>
                      </c:pt>
                      <c:pt idx="5">
                        <c:v>14.003863583934391</c:v>
                      </c:pt>
                      <c:pt idx="6">
                        <c:v>13.980600573748706</c:v>
                      </c:pt>
                      <c:pt idx="7">
                        <c:v>14.364858735960301</c:v>
                      </c:pt>
                      <c:pt idx="8">
                        <c:v>14.244759082748818</c:v>
                      </c:pt>
                      <c:pt idx="9">
                        <c:v>14.972589279330064</c:v>
                      </c:pt>
                      <c:pt idx="10">
                        <c:v>15.486254372180497</c:v>
                      </c:pt>
                      <c:pt idx="11">
                        <c:v>16.12612272053709</c:v>
                      </c:pt>
                      <c:pt idx="12">
                        <c:v>15.712607562732019</c:v>
                      </c:pt>
                      <c:pt idx="13">
                        <c:v>15.231766639699284</c:v>
                      </c:pt>
                      <c:pt idx="14">
                        <c:v>14.07061967577885</c:v>
                      </c:pt>
                      <c:pt idx="15">
                        <c:v>17.996655513670827</c:v>
                      </c:pt>
                      <c:pt idx="16">
                        <c:v>17.65620719485646</c:v>
                      </c:pt>
                      <c:pt idx="17">
                        <c:v>15.281912484895313</c:v>
                      </c:pt>
                      <c:pt idx="18">
                        <c:v>14.048837897613007</c:v>
                      </c:pt>
                      <c:pt idx="19">
                        <c:v>13.920942306523399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786-46BB-B316-9E6D7240C8B5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DATA!$O$1</c15:sqref>
                        </c15:formulaRef>
                      </c:ext>
                    </c:extLst>
                    <c:strCache>
                      <c:ptCount val="1"/>
                      <c:pt idx="0">
                        <c:v>REVENUE DEFICIT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DATA!$O$2:$O$21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2.515607838673096</c:v>
                      </c:pt>
                      <c:pt idx="1">
                        <c:v>1.8515822695073292</c:v>
                      </c:pt>
                      <c:pt idx="2">
                        <c:v>2.1610235588361113</c:v>
                      </c:pt>
                      <c:pt idx="3">
                        <c:v>1.8464205631536206</c:v>
                      </c:pt>
                      <c:pt idx="4">
                        <c:v>2.1809078891981026</c:v>
                      </c:pt>
                      <c:pt idx="5">
                        <c:v>1.3263190500103419</c:v>
                      </c:pt>
                      <c:pt idx="6">
                        <c:v>2.2069239903278661</c:v>
                      </c:pt>
                      <c:pt idx="7">
                        <c:v>2.2680415121521755</c:v>
                      </c:pt>
                      <c:pt idx="8">
                        <c:v>2.4317328780389156</c:v>
                      </c:pt>
                      <c:pt idx="9">
                        <c:v>2.6915582550122257</c:v>
                      </c:pt>
                      <c:pt idx="10">
                        <c:v>1.7183131317098068</c:v>
                      </c:pt>
                      <c:pt idx="11">
                        <c:v>2.4389544334230497</c:v>
                      </c:pt>
                      <c:pt idx="12">
                        <c:v>2.4128411156708931</c:v>
                      </c:pt>
                      <c:pt idx="13">
                        <c:v>2.2151768905883067</c:v>
                      </c:pt>
                      <c:pt idx="14">
                        <c:v>1.7830769492499046</c:v>
                      </c:pt>
                      <c:pt idx="15">
                        <c:v>3.3469872236299434</c:v>
                      </c:pt>
                      <c:pt idx="16">
                        <c:v>3.1952812253377747</c:v>
                      </c:pt>
                      <c:pt idx="17">
                        <c:v>0.88822446045525916</c:v>
                      </c:pt>
                      <c:pt idx="18">
                        <c:v>1.597731583130372</c:v>
                      </c:pt>
                      <c:pt idx="19">
                        <c:v>2.4876971414636446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786-46BB-B316-9E6D7240C8B5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DATA!$P$1</c15:sqref>
                        </c15:formulaRef>
                      </c:ext>
                    </c:extLst>
                    <c:strCache>
                      <c:ptCount val="1"/>
                      <c:pt idx="0">
                        <c:v>FISCAL DEFICIT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DATA!$P$2:$P$21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3.3617971689232093</c:v>
                      </c:pt>
                      <c:pt idx="1">
                        <c:v>2.6825780353539592</c:v>
                      </c:pt>
                      <c:pt idx="2">
                        <c:v>3.4830263693703385</c:v>
                      </c:pt>
                      <c:pt idx="3">
                        <c:v>3.1570082044177252</c:v>
                      </c:pt>
                      <c:pt idx="4">
                        <c:v>3.4177457839907035</c:v>
                      </c:pt>
                      <c:pt idx="5">
                        <c:v>2.7908130313465827</c:v>
                      </c:pt>
                      <c:pt idx="6">
                        <c:v>3.5200781831225063</c:v>
                      </c:pt>
                      <c:pt idx="7">
                        <c:v>3.6386119283165943</c:v>
                      </c:pt>
                      <c:pt idx="8">
                        <c:v>3.6435738673568299</c:v>
                      </c:pt>
                      <c:pt idx="9">
                        <c:v>3.6369562008884548</c:v>
                      </c:pt>
                      <c:pt idx="10">
                        <c:v>3.1705680781672942</c:v>
                      </c:pt>
                      <c:pt idx="11">
                        <c:v>4.1658397470791622</c:v>
                      </c:pt>
                      <c:pt idx="12">
                        <c:v>3.8252364713172367</c:v>
                      </c:pt>
                      <c:pt idx="13">
                        <c:v>3.4198646637681742</c:v>
                      </c:pt>
                      <c:pt idx="14">
                        <c:v>2.9322751326265926</c:v>
                      </c:pt>
                      <c:pt idx="15">
                        <c:v>4.5616949865320358</c:v>
                      </c:pt>
                      <c:pt idx="16">
                        <c:v>4.0354640847464038</c:v>
                      </c:pt>
                      <c:pt idx="17">
                        <c:v>2.4601619398135455</c:v>
                      </c:pt>
                      <c:pt idx="18">
                        <c:v>3.0173426221808834</c:v>
                      </c:pt>
                      <c:pt idx="19">
                        <c:v>3.8643864129791807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786-46BB-B316-9E6D7240C8B5}"/>
                  </c:ext>
                </c:extLst>
              </c15:ser>
            </c15:filteredLineSeries>
          </c:ext>
        </c:extLst>
      </c:lineChart>
      <c:catAx>
        <c:axId val="507280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550961830031694"/>
              <c:y val="0.849211712929421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7280544"/>
        <c:crosses val="autoZero"/>
        <c:auto val="1"/>
        <c:lblAlgn val="ctr"/>
        <c:lblOffset val="100"/>
        <c:noMultiLvlLbl val="0"/>
      </c:catAx>
      <c:valAx>
        <c:axId val="50728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AMOUNT (₹ Crore)</a:t>
                </a:r>
              </a:p>
            </c:rich>
          </c:tx>
          <c:layout>
            <c:manualLayout>
              <c:xMode val="edge"/>
              <c:yMode val="edge"/>
              <c:x val="1.8438320209973755E-2"/>
              <c:y val="0.253430492241101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728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Trend in Revenue Deficit in Kerala (2005–2025</a:t>
            </a:r>
            <a:r>
              <a:rPr lang="en-IN"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)</a:t>
            </a:r>
            <a:endParaRPr lang="en-US" sz="1400"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DATA!$H$1</c:f>
              <c:strCache>
                <c:ptCount val="1"/>
                <c:pt idx="0">
                  <c:v>REVENUE DEFICIT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DATA!$A$2:$A$21</c:f>
              <c:strCache>
                <c:ptCount val="20"/>
                <c:pt idx="0">
                  <c:v>2005-2006</c:v>
                </c:pt>
                <c:pt idx="1">
                  <c:v>2006-2007</c:v>
                </c:pt>
                <c:pt idx="2">
                  <c:v>2007-2008</c:v>
                </c:pt>
                <c:pt idx="3">
                  <c:v>2008-2009</c:v>
                </c:pt>
                <c:pt idx="4">
                  <c:v>2009-2010</c:v>
                </c:pt>
                <c:pt idx="5">
                  <c:v>2010-2011</c:v>
                </c:pt>
                <c:pt idx="6">
                  <c:v>2011-2012</c:v>
                </c:pt>
                <c:pt idx="7">
                  <c:v>2012-2013</c:v>
                </c:pt>
                <c:pt idx="8">
                  <c:v>2013-2014</c:v>
                </c:pt>
                <c:pt idx="9">
                  <c:v>2014-2015</c:v>
                </c:pt>
                <c:pt idx="10">
                  <c:v>2015-2016</c:v>
                </c:pt>
                <c:pt idx="11">
                  <c:v>2016-2017</c:v>
                </c:pt>
                <c:pt idx="12">
                  <c:v>2017-2018</c:v>
                </c:pt>
                <c:pt idx="13">
                  <c:v>2018-2019</c:v>
                </c:pt>
                <c:pt idx="14">
                  <c:v>2019-2020</c:v>
                </c:pt>
                <c:pt idx="15">
                  <c:v>2020-2021</c:v>
                </c:pt>
                <c:pt idx="16">
                  <c:v>2021-2022</c:v>
                </c:pt>
                <c:pt idx="17">
                  <c:v>2022-2023</c:v>
                </c:pt>
                <c:pt idx="18">
                  <c:v>2023-2024</c:v>
                </c:pt>
                <c:pt idx="19">
                  <c:v>2024-2025</c:v>
                </c:pt>
              </c:strCache>
            </c:strRef>
          </c:cat>
          <c:val>
            <c:numRef>
              <c:f>DATA!$H$2:$H$21</c:f>
              <c:numCache>
                <c:formatCode>0.00</c:formatCode>
                <c:ptCount val="20"/>
                <c:pt idx="0">
                  <c:v>3129.15</c:v>
                </c:pt>
                <c:pt idx="1">
                  <c:v>2637.95</c:v>
                </c:pt>
                <c:pt idx="2">
                  <c:v>3784.84</c:v>
                </c:pt>
                <c:pt idx="3">
                  <c:v>3711.67</c:v>
                </c:pt>
                <c:pt idx="4">
                  <c:v>5022.97</c:v>
                </c:pt>
                <c:pt idx="5">
                  <c:v>3673.8599999999969</c:v>
                </c:pt>
                <c:pt idx="6">
                  <c:v>8034.260000000002</c:v>
                </c:pt>
                <c:pt idx="7">
                  <c:v>9351.43</c:v>
                </c:pt>
                <c:pt idx="8">
                  <c:v>11308.559999999998</c:v>
                </c:pt>
                <c:pt idx="9">
                  <c:v>13795.959999999992</c:v>
                </c:pt>
                <c:pt idx="10">
                  <c:v>9656.8099999999977</c:v>
                </c:pt>
                <c:pt idx="11">
                  <c:v>15484.589999999997</c:v>
                </c:pt>
                <c:pt idx="12">
                  <c:v>16928.210000000006</c:v>
                </c:pt>
                <c:pt idx="13">
                  <c:v>17461.919999999998</c:v>
                </c:pt>
                <c:pt idx="14">
                  <c:v>14495.25</c:v>
                </c:pt>
                <c:pt idx="15">
                  <c:v>25829.5</c:v>
                </c:pt>
                <c:pt idx="16">
                  <c:v>29539.270000000004</c:v>
                </c:pt>
                <c:pt idx="17">
                  <c:v>9226.2900000000081</c:v>
                </c:pt>
                <c:pt idx="18">
                  <c:v>18140.190000000002</c:v>
                </c:pt>
                <c:pt idx="19">
                  <c:v>31059.72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70-4589-913E-C995DEBE2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253664"/>
        <c:axId val="5072579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DATA!$B$1</c15:sqref>
                        </c15:formulaRef>
                      </c:ext>
                    </c:extLst>
                    <c:strCache>
                      <c:ptCount val="1"/>
                      <c:pt idx="0">
                        <c:v>OWN 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shade val="44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DATA!$B$2:$B$21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9779.64</c:v>
                      </c:pt>
                      <c:pt idx="1">
                        <c:v>11941.82</c:v>
                      </c:pt>
                      <c:pt idx="2">
                        <c:v>13668.95</c:v>
                      </c:pt>
                      <c:pt idx="3">
                        <c:v>15990.18</c:v>
                      </c:pt>
                      <c:pt idx="4">
                        <c:v>17625.02</c:v>
                      </c:pt>
                      <c:pt idx="5">
                        <c:v>21721.69</c:v>
                      </c:pt>
                      <c:pt idx="6" formatCode="0.0">
                        <c:v>25718.6</c:v>
                      </c:pt>
                      <c:pt idx="7">
                        <c:v>30076.61</c:v>
                      </c:pt>
                      <c:pt idx="8">
                        <c:v>31995.02</c:v>
                      </c:pt>
                      <c:pt idx="9" formatCode="0.0">
                        <c:v>35232.5</c:v>
                      </c:pt>
                      <c:pt idx="10">
                        <c:v>38995.15</c:v>
                      </c:pt>
                      <c:pt idx="11">
                        <c:v>42176.38</c:v>
                      </c:pt>
                      <c:pt idx="12">
                        <c:v>46459.61</c:v>
                      </c:pt>
                      <c:pt idx="13" formatCode="0.0">
                        <c:v>50644.1</c:v>
                      </c:pt>
                      <c:pt idx="14">
                        <c:v>50323.14</c:v>
                      </c:pt>
                      <c:pt idx="15">
                        <c:v>47660.84</c:v>
                      </c:pt>
                      <c:pt idx="16">
                        <c:v>58340.52</c:v>
                      </c:pt>
                      <c:pt idx="17">
                        <c:v>71968.160000000003</c:v>
                      </c:pt>
                      <c:pt idx="18">
                        <c:v>74329.009999999995</c:v>
                      </c:pt>
                      <c:pt idx="19" formatCode="General">
                        <c:v>76642.2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B70-4589-913E-C995DEBE249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DATA!$C$1</c15:sqref>
                        </c15:formulaRef>
                      </c:ext>
                    </c:extLst>
                    <c:strCache>
                      <c:ptCount val="1"/>
                      <c:pt idx="0">
                        <c:v>OWN NON-TAX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shade val="58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DATA!$C$2:$C$21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936.77</c:v>
                      </c:pt>
                      <c:pt idx="1">
                        <c:v>937.57</c:v>
                      </c:pt>
                      <c:pt idx="2">
                        <c:v>1209.55</c:v>
                      </c:pt>
                      <c:pt idx="3">
                        <c:v>1559.29</c:v>
                      </c:pt>
                      <c:pt idx="4">
                        <c:v>1852.22</c:v>
                      </c:pt>
                      <c:pt idx="5">
                        <c:v>1930.79</c:v>
                      </c:pt>
                      <c:pt idx="6">
                        <c:v>2592.1799999999998</c:v>
                      </c:pt>
                      <c:pt idx="7">
                        <c:v>4198.5200000000004</c:v>
                      </c:pt>
                      <c:pt idx="8">
                        <c:v>5575.03</c:v>
                      </c:pt>
                      <c:pt idx="9">
                        <c:v>7283.69</c:v>
                      </c:pt>
                      <c:pt idx="10">
                        <c:v>8425.49</c:v>
                      </c:pt>
                      <c:pt idx="11">
                        <c:v>9699.98</c:v>
                      </c:pt>
                      <c:pt idx="12">
                        <c:v>11199.61</c:v>
                      </c:pt>
                      <c:pt idx="13">
                        <c:v>11783.24</c:v>
                      </c:pt>
                      <c:pt idx="14">
                        <c:v>12265.22</c:v>
                      </c:pt>
                      <c:pt idx="15">
                        <c:v>7327.31</c:v>
                      </c:pt>
                      <c:pt idx="16">
                        <c:v>10462.51</c:v>
                      </c:pt>
                      <c:pt idx="17">
                        <c:v>15117.96</c:v>
                      </c:pt>
                      <c:pt idx="18">
                        <c:v>16345.96</c:v>
                      </c:pt>
                      <c:pt idx="19" formatCode="General">
                        <c:v>16486.62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70-4589-913E-C995DEBE249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DATA!$D$1</c15:sqref>
                        </c15:formulaRef>
                      </c:ext>
                    </c:extLst>
                    <c:strCache>
                      <c:ptCount val="1"/>
                      <c:pt idx="0">
                        <c:v>REVENUE RECEIPT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shade val="7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DATA!$D$2:$D$21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15294.52</c:v>
                      </c:pt>
                      <c:pt idx="1">
                        <c:v>18186.62</c:v>
                      </c:pt>
                      <c:pt idx="2">
                        <c:v>21106.79</c:v>
                      </c:pt>
                      <c:pt idx="3">
                        <c:v>24512.18</c:v>
                      </c:pt>
                      <c:pt idx="4">
                        <c:v>26109.4</c:v>
                      </c:pt>
                      <c:pt idx="5">
                        <c:v>30990.95</c:v>
                      </c:pt>
                      <c:pt idx="6">
                        <c:v>38010.36</c:v>
                      </c:pt>
                      <c:pt idx="7">
                        <c:v>44137.31</c:v>
                      </c:pt>
                      <c:pt idx="8">
                        <c:v>49176.94</c:v>
                      </c:pt>
                      <c:pt idx="9">
                        <c:v>57950.47</c:v>
                      </c:pt>
                      <c:pt idx="10">
                        <c:v>69032.66</c:v>
                      </c:pt>
                      <c:pt idx="11">
                        <c:v>75611.72</c:v>
                      </c:pt>
                      <c:pt idx="12">
                        <c:v>83020.14</c:v>
                      </c:pt>
                      <c:pt idx="13">
                        <c:v>92854.47</c:v>
                      </c:pt>
                      <c:pt idx="14">
                        <c:v>90224.67</c:v>
                      </c:pt>
                      <c:pt idx="15">
                        <c:v>97616.83</c:v>
                      </c:pt>
                      <c:pt idx="16">
                        <c:v>116640.24</c:v>
                      </c:pt>
                      <c:pt idx="17">
                        <c:v>132724.65</c:v>
                      </c:pt>
                      <c:pt idx="18">
                        <c:v>124486.15</c:v>
                      </c:pt>
                      <c:pt idx="19" formatCode="General">
                        <c:v>124861.07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B70-4589-913E-C995DEBE249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shade val="8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DATA!$E$2:$E$21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18423.580000000002</c:v>
                      </c:pt>
                      <c:pt idx="1">
                        <c:v>20824.57</c:v>
                      </c:pt>
                      <c:pt idx="2">
                        <c:v>24891.64</c:v>
                      </c:pt>
                      <c:pt idx="3">
                        <c:v>28223.85</c:v>
                      </c:pt>
                      <c:pt idx="4">
                        <c:v>31132.38</c:v>
                      </c:pt>
                      <c:pt idx="5">
                        <c:v>34664.81</c:v>
                      </c:pt>
                      <c:pt idx="6">
                        <c:v>46044.62</c:v>
                      </c:pt>
                      <c:pt idx="7">
                        <c:v>53488.74</c:v>
                      </c:pt>
                      <c:pt idx="8">
                        <c:v>60485.5</c:v>
                      </c:pt>
                      <c:pt idx="9">
                        <c:v>71746.429999999993</c:v>
                      </c:pt>
                      <c:pt idx="10">
                        <c:v>78689.47</c:v>
                      </c:pt>
                      <c:pt idx="11">
                        <c:v>91096.31</c:v>
                      </c:pt>
                      <c:pt idx="12">
                        <c:v>99948.35</c:v>
                      </c:pt>
                      <c:pt idx="13">
                        <c:v>110316.39</c:v>
                      </c:pt>
                      <c:pt idx="14">
                        <c:v>104719.92</c:v>
                      </c:pt>
                      <c:pt idx="15">
                        <c:v>123446.33</c:v>
                      </c:pt>
                      <c:pt idx="16">
                        <c:v>146179.51</c:v>
                      </c:pt>
                      <c:pt idx="17">
                        <c:v>141950.94</c:v>
                      </c:pt>
                      <c:pt idx="18">
                        <c:v>142626.34</c:v>
                      </c:pt>
                      <c:pt idx="19" formatCode="General">
                        <c:v>155920.79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B70-4589-913E-C995DEBE249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DATA!$J$1</c15:sqref>
                        </c15:formulaRef>
                      </c:ext>
                    </c:extLst>
                    <c:strCache>
                      <c:ptCount val="1"/>
                      <c:pt idx="0">
                        <c:v>GSDP AT CURRENT PRICES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tint val="8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DATA!$J$2:$J$21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124389.42</c:v>
                      </c:pt>
                      <c:pt idx="1">
                        <c:v>142470.04</c:v>
                      </c:pt>
                      <c:pt idx="2">
                        <c:v>175141.08</c:v>
                      </c:pt>
                      <c:pt idx="3">
                        <c:v>201019.75</c:v>
                      </c:pt>
                      <c:pt idx="4">
                        <c:v>230315.55</c:v>
                      </c:pt>
                      <c:pt idx="5">
                        <c:v>276996.7</c:v>
                      </c:pt>
                      <c:pt idx="6">
                        <c:v>364047.88</c:v>
                      </c:pt>
                      <c:pt idx="7">
                        <c:v>412313</c:v>
                      </c:pt>
                      <c:pt idx="8">
                        <c:v>465041.21</c:v>
                      </c:pt>
                      <c:pt idx="9">
                        <c:v>512564.05</c:v>
                      </c:pt>
                      <c:pt idx="10">
                        <c:v>561993.61</c:v>
                      </c:pt>
                      <c:pt idx="11">
                        <c:v>634886.40000000002</c:v>
                      </c:pt>
                      <c:pt idx="12">
                        <c:v>701588.26</c:v>
                      </c:pt>
                      <c:pt idx="13">
                        <c:v>788285.58</c:v>
                      </c:pt>
                      <c:pt idx="14">
                        <c:v>812934.63</c:v>
                      </c:pt>
                      <c:pt idx="15">
                        <c:v>771723.89</c:v>
                      </c:pt>
                      <c:pt idx="16">
                        <c:v>924465.42</c:v>
                      </c:pt>
                      <c:pt idx="17">
                        <c:v>1038734.06</c:v>
                      </c:pt>
                      <c:pt idx="18">
                        <c:v>1135371.56</c:v>
                      </c:pt>
                      <c:pt idx="19">
                        <c:v>1248533.01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B70-4589-913E-C995DEBE249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DATA!$K$1</c15:sqref>
                        </c15:formulaRef>
                      </c:ext>
                    </c:extLst>
                    <c:strCache>
                      <c:ptCount val="1"/>
                      <c:pt idx="0">
                        <c:v>REVENUE RECEIPT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tint val="7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DATA!$K$2:$K$21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12.29567595057522</c:v>
                      </c:pt>
                      <c:pt idx="1">
                        <c:v>12.765224183273899</c:v>
                      </c:pt>
                      <c:pt idx="2">
                        <c:v>12.051307437409889</c:v>
                      </c:pt>
                      <c:pt idx="3">
                        <c:v>12.193916269421289</c:v>
                      </c:pt>
                      <c:pt idx="4">
                        <c:v>11.336360050374369</c:v>
                      </c:pt>
                      <c:pt idx="5">
                        <c:v>11.188201881105444</c:v>
                      </c:pt>
                      <c:pt idx="6">
                        <c:v>10.441033195963124</c:v>
                      </c:pt>
                      <c:pt idx="7">
                        <c:v>10.704806785136533</c:v>
                      </c:pt>
                      <c:pt idx="8">
                        <c:v>10.57474884860204</c:v>
                      </c:pt>
                      <c:pt idx="9">
                        <c:v>11.305995806767955</c:v>
                      </c:pt>
                      <c:pt idx="10">
                        <c:v>12.283531124135024</c:v>
                      </c:pt>
                      <c:pt idx="11">
                        <c:v>11.909488059596175</c:v>
                      </c:pt>
                      <c:pt idx="12">
                        <c:v>11.833171210704124</c:v>
                      </c:pt>
                      <c:pt idx="13">
                        <c:v>11.779293235327229</c:v>
                      </c:pt>
                      <c:pt idx="14">
                        <c:v>11.098637783458678</c:v>
                      </c:pt>
                      <c:pt idx="15">
                        <c:v>12.649191150477407</c:v>
                      </c:pt>
                      <c:pt idx="16">
                        <c:v>12.617047374254408</c:v>
                      </c:pt>
                      <c:pt idx="17">
                        <c:v>12.77753903631503</c:v>
                      </c:pt>
                      <c:pt idx="18">
                        <c:v>10.964353378730042</c:v>
                      </c:pt>
                      <c:pt idx="19">
                        <c:v>10.000622250267938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B70-4589-913E-C995DEBE249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tint val="58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DATA!$L$2:$L$21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14.811211435827904</c:v>
                      </c:pt>
                      <c:pt idx="1">
                        <c:v>14.616806452781228</c:v>
                      </c:pt>
                      <c:pt idx="2">
                        <c:v>14.212336705928729</c:v>
                      </c:pt>
                      <c:pt idx="3">
                        <c:v>14.040336832574907</c:v>
                      </c:pt>
                      <c:pt idx="4">
                        <c:v>13.5172722814417</c:v>
                      </c:pt>
                      <c:pt idx="5">
                        <c:v>12.514520931115786</c:v>
                      </c:pt>
                      <c:pt idx="6">
                        <c:v>12.64795718629099</c:v>
                      </c:pt>
                      <c:pt idx="7">
                        <c:v>12.972848297288712</c:v>
                      </c:pt>
                      <c:pt idx="8">
                        <c:v>13.006481726640956</c:v>
                      </c:pt>
                      <c:pt idx="9">
                        <c:v>13.997554061780178</c:v>
                      </c:pt>
                      <c:pt idx="10">
                        <c:v>14.00184425584483</c:v>
                      </c:pt>
                      <c:pt idx="11">
                        <c:v>14.348442493019222</c:v>
                      </c:pt>
                      <c:pt idx="12">
                        <c:v>14.246012326375018</c:v>
                      </c:pt>
                      <c:pt idx="13">
                        <c:v>13.994470125915534</c:v>
                      </c:pt>
                      <c:pt idx="14">
                        <c:v>12.881714732708582</c:v>
                      </c:pt>
                      <c:pt idx="15">
                        <c:v>15.99617837410735</c:v>
                      </c:pt>
                      <c:pt idx="16">
                        <c:v>15.812328599592185</c:v>
                      </c:pt>
                      <c:pt idx="17">
                        <c:v>13.665763496770289</c:v>
                      </c:pt>
                      <c:pt idx="18">
                        <c:v>12.562084961860414</c:v>
                      </c:pt>
                      <c:pt idx="19">
                        <c:v>12.488319391731581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B70-4589-913E-C995DEBE249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DATA!$O$1</c15:sqref>
                        </c15:formulaRef>
                      </c:ext>
                    </c:extLst>
                    <c:strCache>
                      <c:ptCount val="1"/>
                      <c:pt idx="0">
                        <c:v>REVENUE DEFICIT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tint val="44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DATA!$O$2:$O$21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2.515607838673096</c:v>
                      </c:pt>
                      <c:pt idx="1">
                        <c:v>1.8515822695073292</c:v>
                      </c:pt>
                      <c:pt idx="2">
                        <c:v>2.1610235588361113</c:v>
                      </c:pt>
                      <c:pt idx="3">
                        <c:v>1.8464205631536206</c:v>
                      </c:pt>
                      <c:pt idx="4">
                        <c:v>2.1809078891981026</c:v>
                      </c:pt>
                      <c:pt idx="5">
                        <c:v>1.3263190500103419</c:v>
                      </c:pt>
                      <c:pt idx="6">
                        <c:v>2.2069239903278661</c:v>
                      </c:pt>
                      <c:pt idx="7">
                        <c:v>2.2680415121521755</c:v>
                      </c:pt>
                      <c:pt idx="8">
                        <c:v>2.4317328780389156</c:v>
                      </c:pt>
                      <c:pt idx="9">
                        <c:v>2.6915582550122257</c:v>
                      </c:pt>
                      <c:pt idx="10">
                        <c:v>1.7183131317098068</c:v>
                      </c:pt>
                      <c:pt idx="11">
                        <c:v>2.4389544334230497</c:v>
                      </c:pt>
                      <c:pt idx="12">
                        <c:v>2.4128411156708931</c:v>
                      </c:pt>
                      <c:pt idx="13">
                        <c:v>2.2151768905883067</c:v>
                      </c:pt>
                      <c:pt idx="14">
                        <c:v>1.7830769492499046</c:v>
                      </c:pt>
                      <c:pt idx="15">
                        <c:v>3.3469872236299434</c:v>
                      </c:pt>
                      <c:pt idx="16">
                        <c:v>3.1952812253377747</c:v>
                      </c:pt>
                      <c:pt idx="17">
                        <c:v>0.88822446045525916</c:v>
                      </c:pt>
                      <c:pt idx="18">
                        <c:v>1.597731583130372</c:v>
                      </c:pt>
                      <c:pt idx="19">
                        <c:v>2.4876971414636446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B70-4589-913E-C995DEBE2491}"/>
                  </c:ext>
                </c:extLst>
              </c15:ser>
            </c15:filteredLineSeries>
          </c:ext>
        </c:extLst>
      </c:lineChart>
      <c:catAx>
        <c:axId val="507253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5553207747765706"/>
              <c:y val="0.851668871049160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7257984"/>
        <c:crosses val="autoZero"/>
        <c:auto val="1"/>
        <c:lblAlgn val="ctr"/>
        <c:lblOffset val="100"/>
        <c:noMultiLvlLbl val="0"/>
      </c:catAx>
      <c:valAx>
        <c:axId val="507257984"/>
        <c:scaling>
          <c:orientation val="minMax"/>
          <c:max val="3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 </a:t>
                </a:r>
                <a:r>
                  <a:rPr lang="en-I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AMOUNT (₹ Crore)</a:t>
                </a:r>
              </a:p>
            </c:rich>
          </c:tx>
          <c:layout>
            <c:manualLayout>
              <c:xMode val="edge"/>
              <c:yMode val="edge"/>
              <c:x val="1.4581381441243898E-2"/>
              <c:y val="0.22809214273811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725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Trend in Own Tax Revenue in Kerala (2005–2025)</a:t>
            </a:r>
            <a:endParaRPr lang="en-US" sz="1400" b="1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OWN TAX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DATA!$A$2:$A$21</c:f>
              <c:strCache>
                <c:ptCount val="20"/>
                <c:pt idx="0">
                  <c:v>2005-2006</c:v>
                </c:pt>
                <c:pt idx="1">
                  <c:v>2006-2007</c:v>
                </c:pt>
                <c:pt idx="2">
                  <c:v>2007-2008</c:v>
                </c:pt>
                <c:pt idx="3">
                  <c:v>2008-2009</c:v>
                </c:pt>
                <c:pt idx="4">
                  <c:v>2009-2010</c:v>
                </c:pt>
                <c:pt idx="5">
                  <c:v>2010-2011</c:v>
                </c:pt>
                <c:pt idx="6">
                  <c:v>2011-2012</c:v>
                </c:pt>
                <c:pt idx="7">
                  <c:v>2012-2013</c:v>
                </c:pt>
                <c:pt idx="8">
                  <c:v>2013-2014</c:v>
                </c:pt>
                <c:pt idx="9">
                  <c:v>2014-2015</c:v>
                </c:pt>
                <c:pt idx="10">
                  <c:v>2015-2016</c:v>
                </c:pt>
                <c:pt idx="11">
                  <c:v>2016-2017</c:v>
                </c:pt>
                <c:pt idx="12">
                  <c:v>2017-2018</c:v>
                </c:pt>
                <c:pt idx="13">
                  <c:v>2018-2019</c:v>
                </c:pt>
                <c:pt idx="14">
                  <c:v>2019-2020</c:v>
                </c:pt>
                <c:pt idx="15">
                  <c:v>2020-2021</c:v>
                </c:pt>
                <c:pt idx="16">
                  <c:v>2021-2022</c:v>
                </c:pt>
                <c:pt idx="17">
                  <c:v>2022-2023</c:v>
                </c:pt>
                <c:pt idx="18">
                  <c:v>2023-2024</c:v>
                </c:pt>
                <c:pt idx="19">
                  <c:v>2024-2025</c:v>
                </c:pt>
              </c:strCache>
            </c:strRef>
          </c:cat>
          <c:val>
            <c:numRef>
              <c:f>DATA!$B$2:$B$21</c:f>
              <c:numCache>
                <c:formatCode>0.00</c:formatCode>
                <c:ptCount val="20"/>
                <c:pt idx="0">
                  <c:v>9779.64</c:v>
                </c:pt>
                <c:pt idx="1">
                  <c:v>11941.82</c:v>
                </c:pt>
                <c:pt idx="2">
                  <c:v>13668.95</c:v>
                </c:pt>
                <c:pt idx="3">
                  <c:v>15990.18</c:v>
                </c:pt>
                <c:pt idx="4">
                  <c:v>17625.02</c:v>
                </c:pt>
                <c:pt idx="5">
                  <c:v>21721.69</c:v>
                </c:pt>
                <c:pt idx="6" formatCode="0.0">
                  <c:v>25718.6</c:v>
                </c:pt>
                <c:pt idx="7">
                  <c:v>30076.61</c:v>
                </c:pt>
                <c:pt idx="8">
                  <c:v>31995.02</c:v>
                </c:pt>
                <c:pt idx="9" formatCode="0.0">
                  <c:v>35232.5</c:v>
                </c:pt>
                <c:pt idx="10">
                  <c:v>38995.15</c:v>
                </c:pt>
                <c:pt idx="11">
                  <c:v>42176.38</c:v>
                </c:pt>
                <c:pt idx="12">
                  <c:v>46459.61</c:v>
                </c:pt>
                <c:pt idx="13" formatCode="0.0">
                  <c:v>50644.1</c:v>
                </c:pt>
                <c:pt idx="14">
                  <c:v>50323.14</c:v>
                </c:pt>
                <c:pt idx="15">
                  <c:v>47660.84</c:v>
                </c:pt>
                <c:pt idx="16">
                  <c:v>58340.52</c:v>
                </c:pt>
                <c:pt idx="17">
                  <c:v>71968.160000000003</c:v>
                </c:pt>
                <c:pt idx="18">
                  <c:v>74329.009999999995</c:v>
                </c:pt>
                <c:pt idx="19" formatCode="General">
                  <c:v>76642.2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F-4A13-9013-0282733AC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034832"/>
        <c:axId val="119504779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DATA!$C$1</c15:sqref>
                        </c15:formulaRef>
                      </c:ext>
                    </c:extLst>
                    <c:strCache>
                      <c:ptCount val="1"/>
                      <c:pt idx="0">
                        <c:v>OWN NON-TAX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DATA!$C$2:$C$21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936.77</c:v>
                      </c:pt>
                      <c:pt idx="1">
                        <c:v>937.57</c:v>
                      </c:pt>
                      <c:pt idx="2">
                        <c:v>1209.55</c:v>
                      </c:pt>
                      <c:pt idx="3">
                        <c:v>1559.29</c:v>
                      </c:pt>
                      <c:pt idx="4">
                        <c:v>1852.22</c:v>
                      </c:pt>
                      <c:pt idx="5">
                        <c:v>1930.79</c:v>
                      </c:pt>
                      <c:pt idx="6">
                        <c:v>2592.1799999999998</c:v>
                      </c:pt>
                      <c:pt idx="7">
                        <c:v>4198.5200000000004</c:v>
                      </c:pt>
                      <c:pt idx="8">
                        <c:v>5575.03</c:v>
                      </c:pt>
                      <c:pt idx="9">
                        <c:v>7283.69</c:v>
                      </c:pt>
                      <c:pt idx="10">
                        <c:v>8425.49</c:v>
                      </c:pt>
                      <c:pt idx="11">
                        <c:v>9699.98</c:v>
                      </c:pt>
                      <c:pt idx="12">
                        <c:v>11199.61</c:v>
                      </c:pt>
                      <c:pt idx="13">
                        <c:v>11783.24</c:v>
                      </c:pt>
                      <c:pt idx="14">
                        <c:v>12265.22</c:v>
                      </c:pt>
                      <c:pt idx="15">
                        <c:v>7327.31</c:v>
                      </c:pt>
                      <c:pt idx="16">
                        <c:v>10462.51</c:v>
                      </c:pt>
                      <c:pt idx="17">
                        <c:v>15117.96</c:v>
                      </c:pt>
                      <c:pt idx="18">
                        <c:v>16345.96</c:v>
                      </c:pt>
                      <c:pt idx="19" formatCode="General">
                        <c:v>16486.62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B3F-4A13-9013-0282733ACDC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DATA!$D$1</c15:sqref>
                        </c15:formulaRef>
                      </c:ext>
                    </c:extLst>
                    <c:strCache>
                      <c:ptCount val="1"/>
                      <c:pt idx="0">
                        <c:v>REVENUE RECEIPT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DATA!$D$2:$D$21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15294.52</c:v>
                      </c:pt>
                      <c:pt idx="1">
                        <c:v>18186.62</c:v>
                      </c:pt>
                      <c:pt idx="2">
                        <c:v>21106.79</c:v>
                      </c:pt>
                      <c:pt idx="3">
                        <c:v>24512.18</c:v>
                      </c:pt>
                      <c:pt idx="4">
                        <c:v>26109.4</c:v>
                      </c:pt>
                      <c:pt idx="5">
                        <c:v>30990.95</c:v>
                      </c:pt>
                      <c:pt idx="6">
                        <c:v>38010.36</c:v>
                      </c:pt>
                      <c:pt idx="7">
                        <c:v>44137.31</c:v>
                      </c:pt>
                      <c:pt idx="8">
                        <c:v>49176.94</c:v>
                      </c:pt>
                      <c:pt idx="9">
                        <c:v>57950.47</c:v>
                      </c:pt>
                      <c:pt idx="10">
                        <c:v>69032.66</c:v>
                      </c:pt>
                      <c:pt idx="11">
                        <c:v>75611.72</c:v>
                      </c:pt>
                      <c:pt idx="12">
                        <c:v>83020.14</c:v>
                      </c:pt>
                      <c:pt idx="13">
                        <c:v>92854.47</c:v>
                      </c:pt>
                      <c:pt idx="14">
                        <c:v>90224.67</c:v>
                      </c:pt>
                      <c:pt idx="15">
                        <c:v>97616.83</c:v>
                      </c:pt>
                      <c:pt idx="16">
                        <c:v>116640.24</c:v>
                      </c:pt>
                      <c:pt idx="17">
                        <c:v>132724.65</c:v>
                      </c:pt>
                      <c:pt idx="18">
                        <c:v>124486.15</c:v>
                      </c:pt>
                      <c:pt idx="19" formatCode="General">
                        <c:v>124861.07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3F-4A13-9013-0282733ACDC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DATA!$E$2:$E$21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18423.580000000002</c:v>
                      </c:pt>
                      <c:pt idx="1">
                        <c:v>20824.57</c:v>
                      </c:pt>
                      <c:pt idx="2">
                        <c:v>24891.64</c:v>
                      </c:pt>
                      <c:pt idx="3">
                        <c:v>28223.85</c:v>
                      </c:pt>
                      <c:pt idx="4">
                        <c:v>31132.38</c:v>
                      </c:pt>
                      <c:pt idx="5">
                        <c:v>34664.81</c:v>
                      </c:pt>
                      <c:pt idx="6">
                        <c:v>46044.62</c:v>
                      </c:pt>
                      <c:pt idx="7">
                        <c:v>53488.74</c:v>
                      </c:pt>
                      <c:pt idx="8">
                        <c:v>60485.5</c:v>
                      </c:pt>
                      <c:pt idx="9">
                        <c:v>71746.429999999993</c:v>
                      </c:pt>
                      <c:pt idx="10">
                        <c:v>78689.47</c:v>
                      </c:pt>
                      <c:pt idx="11">
                        <c:v>91096.31</c:v>
                      </c:pt>
                      <c:pt idx="12">
                        <c:v>99948.35</c:v>
                      </c:pt>
                      <c:pt idx="13">
                        <c:v>110316.39</c:v>
                      </c:pt>
                      <c:pt idx="14">
                        <c:v>104719.92</c:v>
                      </c:pt>
                      <c:pt idx="15">
                        <c:v>123446.33</c:v>
                      </c:pt>
                      <c:pt idx="16">
                        <c:v>146179.51</c:v>
                      </c:pt>
                      <c:pt idx="17">
                        <c:v>141950.94</c:v>
                      </c:pt>
                      <c:pt idx="18">
                        <c:v>142626.34</c:v>
                      </c:pt>
                      <c:pt idx="19" formatCode="General">
                        <c:v>155920.79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3F-4A13-9013-0282733ACDC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DATA!$H$1</c15:sqref>
                        </c15:formulaRef>
                      </c:ext>
                    </c:extLst>
                    <c:strCache>
                      <c:ptCount val="1"/>
                      <c:pt idx="0">
                        <c:v>REVENUE DEFICIT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DATA!$H$2:$H$21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3129.15</c:v>
                      </c:pt>
                      <c:pt idx="1">
                        <c:v>2637.95</c:v>
                      </c:pt>
                      <c:pt idx="2">
                        <c:v>3784.84</c:v>
                      </c:pt>
                      <c:pt idx="3">
                        <c:v>3711.67</c:v>
                      </c:pt>
                      <c:pt idx="4">
                        <c:v>5022.97</c:v>
                      </c:pt>
                      <c:pt idx="5">
                        <c:v>3673.8599999999969</c:v>
                      </c:pt>
                      <c:pt idx="6">
                        <c:v>8034.260000000002</c:v>
                      </c:pt>
                      <c:pt idx="7">
                        <c:v>9351.43</c:v>
                      </c:pt>
                      <c:pt idx="8">
                        <c:v>11308.559999999998</c:v>
                      </c:pt>
                      <c:pt idx="9">
                        <c:v>13795.959999999992</c:v>
                      </c:pt>
                      <c:pt idx="10">
                        <c:v>9656.8099999999977</c:v>
                      </c:pt>
                      <c:pt idx="11">
                        <c:v>15484.589999999997</c:v>
                      </c:pt>
                      <c:pt idx="12">
                        <c:v>16928.210000000006</c:v>
                      </c:pt>
                      <c:pt idx="13">
                        <c:v>17461.919999999998</c:v>
                      </c:pt>
                      <c:pt idx="14">
                        <c:v>14495.25</c:v>
                      </c:pt>
                      <c:pt idx="15">
                        <c:v>25829.5</c:v>
                      </c:pt>
                      <c:pt idx="16">
                        <c:v>29539.270000000004</c:v>
                      </c:pt>
                      <c:pt idx="17">
                        <c:v>9226.2900000000081</c:v>
                      </c:pt>
                      <c:pt idx="18">
                        <c:v>18140.190000000002</c:v>
                      </c:pt>
                      <c:pt idx="19">
                        <c:v>31059.72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3F-4A13-9013-0282733ACDC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DATA!$J$1</c15:sqref>
                        </c15:formulaRef>
                      </c:ext>
                    </c:extLst>
                    <c:strCache>
                      <c:ptCount val="1"/>
                      <c:pt idx="0">
                        <c:v>GSDP AT CURRENT PRICES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DATA!$J$2:$J$21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124389.42</c:v>
                      </c:pt>
                      <c:pt idx="1">
                        <c:v>142470.04</c:v>
                      </c:pt>
                      <c:pt idx="2">
                        <c:v>175141.08</c:v>
                      </c:pt>
                      <c:pt idx="3">
                        <c:v>201019.75</c:v>
                      </c:pt>
                      <c:pt idx="4">
                        <c:v>230315.55</c:v>
                      </c:pt>
                      <c:pt idx="5">
                        <c:v>276996.7</c:v>
                      </c:pt>
                      <c:pt idx="6">
                        <c:v>364047.88</c:v>
                      </c:pt>
                      <c:pt idx="7">
                        <c:v>412313</c:v>
                      </c:pt>
                      <c:pt idx="8">
                        <c:v>465041.21</c:v>
                      </c:pt>
                      <c:pt idx="9">
                        <c:v>512564.05</c:v>
                      </c:pt>
                      <c:pt idx="10">
                        <c:v>561993.61</c:v>
                      </c:pt>
                      <c:pt idx="11">
                        <c:v>634886.40000000002</c:v>
                      </c:pt>
                      <c:pt idx="12">
                        <c:v>701588.26</c:v>
                      </c:pt>
                      <c:pt idx="13">
                        <c:v>788285.58</c:v>
                      </c:pt>
                      <c:pt idx="14">
                        <c:v>812934.63</c:v>
                      </c:pt>
                      <c:pt idx="15">
                        <c:v>771723.89</c:v>
                      </c:pt>
                      <c:pt idx="16">
                        <c:v>924465.42</c:v>
                      </c:pt>
                      <c:pt idx="17">
                        <c:v>1038734.06</c:v>
                      </c:pt>
                      <c:pt idx="18">
                        <c:v>1135371.56</c:v>
                      </c:pt>
                      <c:pt idx="19">
                        <c:v>1248533.01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3F-4A13-9013-0282733ACDC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DATA!$K$1</c15:sqref>
                        </c15:formulaRef>
                      </c:ext>
                    </c:extLst>
                    <c:strCache>
                      <c:ptCount val="1"/>
                      <c:pt idx="0">
                        <c:v>REVENUE RECEIPT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DATA!$K$2:$K$21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12.29567595057522</c:v>
                      </c:pt>
                      <c:pt idx="1">
                        <c:v>12.765224183273899</c:v>
                      </c:pt>
                      <c:pt idx="2">
                        <c:v>12.051307437409889</c:v>
                      </c:pt>
                      <c:pt idx="3">
                        <c:v>12.193916269421289</c:v>
                      </c:pt>
                      <c:pt idx="4">
                        <c:v>11.336360050374369</c:v>
                      </c:pt>
                      <c:pt idx="5">
                        <c:v>11.188201881105444</c:v>
                      </c:pt>
                      <c:pt idx="6">
                        <c:v>10.441033195963124</c:v>
                      </c:pt>
                      <c:pt idx="7">
                        <c:v>10.704806785136533</c:v>
                      </c:pt>
                      <c:pt idx="8">
                        <c:v>10.57474884860204</c:v>
                      </c:pt>
                      <c:pt idx="9">
                        <c:v>11.305995806767955</c:v>
                      </c:pt>
                      <c:pt idx="10">
                        <c:v>12.283531124135024</c:v>
                      </c:pt>
                      <c:pt idx="11">
                        <c:v>11.909488059596175</c:v>
                      </c:pt>
                      <c:pt idx="12">
                        <c:v>11.833171210704124</c:v>
                      </c:pt>
                      <c:pt idx="13">
                        <c:v>11.779293235327229</c:v>
                      </c:pt>
                      <c:pt idx="14">
                        <c:v>11.098637783458678</c:v>
                      </c:pt>
                      <c:pt idx="15">
                        <c:v>12.649191150477407</c:v>
                      </c:pt>
                      <c:pt idx="16">
                        <c:v>12.617047374254408</c:v>
                      </c:pt>
                      <c:pt idx="17">
                        <c:v>12.77753903631503</c:v>
                      </c:pt>
                      <c:pt idx="18">
                        <c:v>10.964353378730042</c:v>
                      </c:pt>
                      <c:pt idx="19">
                        <c:v>10.000622250267938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3F-4A13-9013-0282733ACDC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DATA!$L$2:$L$21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14.811211435827904</c:v>
                      </c:pt>
                      <c:pt idx="1">
                        <c:v>14.616806452781228</c:v>
                      </c:pt>
                      <c:pt idx="2">
                        <c:v>14.212336705928729</c:v>
                      </c:pt>
                      <c:pt idx="3">
                        <c:v>14.040336832574907</c:v>
                      </c:pt>
                      <c:pt idx="4">
                        <c:v>13.5172722814417</c:v>
                      </c:pt>
                      <c:pt idx="5">
                        <c:v>12.514520931115786</c:v>
                      </c:pt>
                      <c:pt idx="6">
                        <c:v>12.64795718629099</c:v>
                      </c:pt>
                      <c:pt idx="7">
                        <c:v>12.972848297288712</c:v>
                      </c:pt>
                      <c:pt idx="8">
                        <c:v>13.006481726640956</c:v>
                      </c:pt>
                      <c:pt idx="9">
                        <c:v>13.997554061780178</c:v>
                      </c:pt>
                      <c:pt idx="10">
                        <c:v>14.00184425584483</c:v>
                      </c:pt>
                      <c:pt idx="11">
                        <c:v>14.348442493019222</c:v>
                      </c:pt>
                      <c:pt idx="12">
                        <c:v>14.246012326375018</c:v>
                      </c:pt>
                      <c:pt idx="13">
                        <c:v>13.994470125915534</c:v>
                      </c:pt>
                      <c:pt idx="14">
                        <c:v>12.881714732708582</c:v>
                      </c:pt>
                      <c:pt idx="15">
                        <c:v>15.99617837410735</c:v>
                      </c:pt>
                      <c:pt idx="16">
                        <c:v>15.812328599592185</c:v>
                      </c:pt>
                      <c:pt idx="17">
                        <c:v>13.665763496770289</c:v>
                      </c:pt>
                      <c:pt idx="18">
                        <c:v>12.562084961860414</c:v>
                      </c:pt>
                      <c:pt idx="19">
                        <c:v>12.488319391731581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3F-4A13-9013-0282733ACDC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DATA!$O$1</c15:sqref>
                        </c15:formulaRef>
                      </c:ext>
                    </c:extLst>
                    <c:strCache>
                      <c:ptCount val="1"/>
                      <c:pt idx="0">
                        <c:v>REVENUE DEFICIT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DATA!$O$2:$O$21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2.515607838673096</c:v>
                      </c:pt>
                      <c:pt idx="1">
                        <c:v>1.8515822695073292</c:v>
                      </c:pt>
                      <c:pt idx="2">
                        <c:v>2.1610235588361113</c:v>
                      </c:pt>
                      <c:pt idx="3">
                        <c:v>1.8464205631536206</c:v>
                      </c:pt>
                      <c:pt idx="4">
                        <c:v>2.1809078891981026</c:v>
                      </c:pt>
                      <c:pt idx="5">
                        <c:v>1.3263190500103419</c:v>
                      </c:pt>
                      <c:pt idx="6">
                        <c:v>2.2069239903278661</c:v>
                      </c:pt>
                      <c:pt idx="7">
                        <c:v>2.2680415121521755</c:v>
                      </c:pt>
                      <c:pt idx="8">
                        <c:v>2.4317328780389156</c:v>
                      </c:pt>
                      <c:pt idx="9">
                        <c:v>2.6915582550122257</c:v>
                      </c:pt>
                      <c:pt idx="10">
                        <c:v>1.7183131317098068</c:v>
                      </c:pt>
                      <c:pt idx="11">
                        <c:v>2.4389544334230497</c:v>
                      </c:pt>
                      <c:pt idx="12">
                        <c:v>2.4128411156708931</c:v>
                      </c:pt>
                      <c:pt idx="13">
                        <c:v>2.2151768905883067</c:v>
                      </c:pt>
                      <c:pt idx="14">
                        <c:v>1.7830769492499046</c:v>
                      </c:pt>
                      <c:pt idx="15">
                        <c:v>3.3469872236299434</c:v>
                      </c:pt>
                      <c:pt idx="16">
                        <c:v>3.1952812253377747</c:v>
                      </c:pt>
                      <c:pt idx="17">
                        <c:v>0.88822446045525916</c:v>
                      </c:pt>
                      <c:pt idx="18">
                        <c:v>1.597731583130372</c:v>
                      </c:pt>
                      <c:pt idx="19">
                        <c:v>2.4876971414636446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3F-4A13-9013-0282733ACDC0}"/>
                  </c:ext>
                </c:extLst>
              </c15:ser>
            </c15:filteredLineSeries>
          </c:ext>
        </c:extLst>
      </c:lineChart>
      <c:catAx>
        <c:axId val="1195034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574890024170804"/>
              <c:y val="0.84061121886525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5047792"/>
        <c:crosses val="autoZero"/>
        <c:auto val="1"/>
        <c:lblAlgn val="ctr"/>
        <c:lblOffset val="100"/>
        <c:noMultiLvlLbl val="0"/>
      </c:catAx>
      <c:valAx>
        <c:axId val="119504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AMOUNT (₹ Crore)</a:t>
                </a:r>
                <a:endParaRPr lang="en-IN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1.5392076353009394E-2"/>
              <c:y val="0.298077692601373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503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Trend</a:t>
            </a:r>
            <a:r>
              <a:rPr lang="en-US" sz="1400" b="1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 Revenue Receipt Ratio (% of GSDP) in Kerala (2005-2025)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DATA!$K$1</c:f>
              <c:strCache>
                <c:ptCount val="1"/>
                <c:pt idx="0">
                  <c:v>REVENUE RECEIPT RATIO</c:v>
                </c:pt>
              </c:strCache>
            </c:strRef>
          </c:tx>
          <c:spPr>
            <a:ln w="28575" cap="rnd">
              <a:solidFill>
                <a:schemeClr val="accent1">
                  <a:shade val="72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2000"/>
                </a:schemeClr>
              </a:solidFill>
              <a:ln w="9525">
                <a:solidFill>
                  <a:schemeClr val="accent1">
                    <a:shade val="72000"/>
                  </a:schemeClr>
                </a:solidFill>
              </a:ln>
              <a:effectLst/>
            </c:spPr>
          </c:marker>
          <c:cat>
            <c:strRef>
              <c:f>DATA!$A$2:$A$21</c:f>
              <c:strCache>
                <c:ptCount val="20"/>
                <c:pt idx="0">
                  <c:v>2005-2006</c:v>
                </c:pt>
                <c:pt idx="1">
                  <c:v>2006-2007</c:v>
                </c:pt>
                <c:pt idx="2">
                  <c:v>2007-2008</c:v>
                </c:pt>
                <c:pt idx="3">
                  <c:v>2008-2009</c:v>
                </c:pt>
                <c:pt idx="4">
                  <c:v>2009-2010</c:v>
                </c:pt>
                <c:pt idx="5">
                  <c:v>2010-2011</c:v>
                </c:pt>
                <c:pt idx="6">
                  <c:v>2011-2012</c:v>
                </c:pt>
                <c:pt idx="7">
                  <c:v>2012-2013</c:v>
                </c:pt>
                <c:pt idx="8">
                  <c:v>2013-2014</c:v>
                </c:pt>
                <c:pt idx="9">
                  <c:v>2014-2015</c:v>
                </c:pt>
                <c:pt idx="10">
                  <c:v>2015-2016</c:v>
                </c:pt>
                <c:pt idx="11">
                  <c:v>2016-2017</c:v>
                </c:pt>
                <c:pt idx="12">
                  <c:v>2017-2018</c:v>
                </c:pt>
                <c:pt idx="13">
                  <c:v>2018-2019</c:v>
                </c:pt>
                <c:pt idx="14">
                  <c:v>2019-2020</c:v>
                </c:pt>
                <c:pt idx="15">
                  <c:v>2020-2021</c:v>
                </c:pt>
                <c:pt idx="16">
                  <c:v>2021-2022</c:v>
                </c:pt>
                <c:pt idx="17">
                  <c:v>2022-2023</c:v>
                </c:pt>
                <c:pt idx="18">
                  <c:v>2023-2024</c:v>
                </c:pt>
                <c:pt idx="19">
                  <c:v>2024-2025</c:v>
                </c:pt>
              </c:strCache>
            </c:strRef>
          </c:cat>
          <c:val>
            <c:numRef>
              <c:f>DATA!$K$2:$K$21</c:f>
              <c:numCache>
                <c:formatCode>0.00</c:formatCode>
                <c:ptCount val="20"/>
                <c:pt idx="0">
                  <c:v>12.29567595057522</c:v>
                </c:pt>
                <c:pt idx="1">
                  <c:v>12.765224183273899</c:v>
                </c:pt>
                <c:pt idx="2">
                  <c:v>12.051307437409889</c:v>
                </c:pt>
                <c:pt idx="3">
                  <c:v>12.193916269421289</c:v>
                </c:pt>
                <c:pt idx="4">
                  <c:v>11.336360050374369</c:v>
                </c:pt>
                <c:pt idx="5">
                  <c:v>11.188201881105444</c:v>
                </c:pt>
                <c:pt idx="6">
                  <c:v>10.441033195963124</c:v>
                </c:pt>
                <c:pt idx="7">
                  <c:v>10.704806785136533</c:v>
                </c:pt>
                <c:pt idx="8">
                  <c:v>10.57474884860204</c:v>
                </c:pt>
                <c:pt idx="9">
                  <c:v>11.305995806767955</c:v>
                </c:pt>
                <c:pt idx="10">
                  <c:v>12.283531124135024</c:v>
                </c:pt>
                <c:pt idx="11">
                  <c:v>11.909488059596175</c:v>
                </c:pt>
                <c:pt idx="12">
                  <c:v>11.833171210704124</c:v>
                </c:pt>
                <c:pt idx="13">
                  <c:v>11.779293235327229</c:v>
                </c:pt>
                <c:pt idx="14">
                  <c:v>11.098637783458678</c:v>
                </c:pt>
                <c:pt idx="15">
                  <c:v>12.649191150477407</c:v>
                </c:pt>
                <c:pt idx="16">
                  <c:v>12.617047374254408</c:v>
                </c:pt>
                <c:pt idx="17">
                  <c:v>12.77753903631503</c:v>
                </c:pt>
                <c:pt idx="18">
                  <c:v>10.964353378730042</c:v>
                </c:pt>
                <c:pt idx="19">
                  <c:v>10.000622250267938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BA-48DA-8244-7087EDB88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089072"/>
        <c:axId val="11950895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DATA!$B$1</c15:sqref>
                        </c15:formulaRef>
                      </c:ext>
                    </c:extLst>
                    <c:strCache>
                      <c:ptCount val="1"/>
                      <c:pt idx="0">
                        <c:v>OWN 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tint val="44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DATA!$B$2:$B$21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9779.64</c:v>
                      </c:pt>
                      <c:pt idx="1">
                        <c:v>11941.82</c:v>
                      </c:pt>
                      <c:pt idx="2">
                        <c:v>13668.95</c:v>
                      </c:pt>
                      <c:pt idx="3">
                        <c:v>15990.18</c:v>
                      </c:pt>
                      <c:pt idx="4">
                        <c:v>17625.02</c:v>
                      </c:pt>
                      <c:pt idx="5">
                        <c:v>21721.69</c:v>
                      </c:pt>
                      <c:pt idx="6" formatCode="0.0">
                        <c:v>25718.6</c:v>
                      </c:pt>
                      <c:pt idx="7">
                        <c:v>30076.61</c:v>
                      </c:pt>
                      <c:pt idx="8">
                        <c:v>31995.02</c:v>
                      </c:pt>
                      <c:pt idx="9" formatCode="0.0">
                        <c:v>35232.5</c:v>
                      </c:pt>
                      <c:pt idx="10">
                        <c:v>38995.15</c:v>
                      </c:pt>
                      <c:pt idx="11">
                        <c:v>42176.38</c:v>
                      </c:pt>
                      <c:pt idx="12">
                        <c:v>46459.61</c:v>
                      </c:pt>
                      <c:pt idx="13" formatCode="0.0">
                        <c:v>50644.1</c:v>
                      </c:pt>
                      <c:pt idx="14">
                        <c:v>50323.14</c:v>
                      </c:pt>
                      <c:pt idx="15">
                        <c:v>47660.84</c:v>
                      </c:pt>
                      <c:pt idx="16">
                        <c:v>58340.52</c:v>
                      </c:pt>
                      <c:pt idx="17">
                        <c:v>71968.160000000003</c:v>
                      </c:pt>
                      <c:pt idx="18">
                        <c:v>74329.009999999995</c:v>
                      </c:pt>
                      <c:pt idx="19" formatCode="General">
                        <c:v>76642.2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4BA-48DA-8244-7087EDB889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DATA!$C$1</c15:sqref>
                        </c15:formulaRef>
                      </c:ext>
                    </c:extLst>
                    <c:strCache>
                      <c:ptCount val="1"/>
                      <c:pt idx="0">
                        <c:v>OWN NON-TAX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tint val="58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DATA!$C$2:$C$21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936.77</c:v>
                      </c:pt>
                      <c:pt idx="1">
                        <c:v>937.57</c:v>
                      </c:pt>
                      <c:pt idx="2">
                        <c:v>1209.55</c:v>
                      </c:pt>
                      <c:pt idx="3">
                        <c:v>1559.29</c:v>
                      </c:pt>
                      <c:pt idx="4">
                        <c:v>1852.22</c:v>
                      </c:pt>
                      <c:pt idx="5">
                        <c:v>1930.79</c:v>
                      </c:pt>
                      <c:pt idx="6">
                        <c:v>2592.1799999999998</c:v>
                      </c:pt>
                      <c:pt idx="7">
                        <c:v>4198.5200000000004</c:v>
                      </c:pt>
                      <c:pt idx="8">
                        <c:v>5575.03</c:v>
                      </c:pt>
                      <c:pt idx="9">
                        <c:v>7283.69</c:v>
                      </c:pt>
                      <c:pt idx="10">
                        <c:v>8425.49</c:v>
                      </c:pt>
                      <c:pt idx="11">
                        <c:v>9699.98</c:v>
                      </c:pt>
                      <c:pt idx="12">
                        <c:v>11199.61</c:v>
                      </c:pt>
                      <c:pt idx="13">
                        <c:v>11783.24</c:v>
                      </c:pt>
                      <c:pt idx="14">
                        <c:v>12265.22</c:v>
                      </c:pt>
                      <c:pt idx="15">
                        <c:v>7327.31</c:v>
                      </c:pt>
                      <c:pt idx="16">
                        <c:v>10462.51</c:v>
                      </c:pt>
                      <c:pt idx="17">
                        <c:v>15117.96</c:v>
                      </c:pt>
                      <c:pt idx="18">
                        <c:v>16345.96</c:v>
                      </c:pt>
                      <c:pt idx="19" formatCode="General">
                        <c:v>16486.62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4BA-48DA-8244-7087EDB889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DATA!$D$1</c15:sqref>
                        </c15:formulaRef>
                      </c:ext>
                    </c:extLst>
                    <c:strCache>
                      <c:ptCount val="1"/>
                      <c:pt idx="0">
                        <c:v>REVENUE RECEIPT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tint val="7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DATA!$D$2:$D$21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15294.52</c:v>
                      </c:pt>
                      <c:pt idx="1">
                        <c:v>18186.62</c:v>
                      </c:pt>
                      <c:pt idx="2">
                        <c:v>21106.79</c:v>
                      </c:pt>
                      <c:pt idx="3">
                        <c:v>24512.18</c:v>
                      </c:pt>
                      <c:pt idx="4">
                        <c:v>26109.4</c:v>
                      </c:pt>
                      <c:pt idx="5">
                        <c:v>30990.95</c:v>
                      </c:pt>
                      <c:pt idx="6">
                        <c:v>38010.36</c:v>
                      </c:pt>
                      <c:pt idx="7">
                        <c:v>44137.31</c:v>
                      </c:pt>
                      <c:pt idx="8">
                        <c:v>49176.94</c:v>
                      </c:pt>
                      <c:pt idx="9">
                        <c:v>57950.47</c:v>
                      </c:pt>
                      <c:pt idx="10">
                        <c:v>69032.66</c:v>
                      </c:pt>
                      <c:pt idx="11">
                        <c:v>75611.72</c:v>
                      </c:pt>
                      <c:pt idx="12">
                        <c:v>83020.14</c:v>
                      </c:pt>
                      <c:pt idx="13">
                        <c:v>92854.47</c:v>
                      </c:pt>
                      <c:pt idx="14">
                        <c:v>90224.67</c:v>
                      </c:pt>
                      <c:pt idx="15">
                        <c:v>97616.83</c:v>
                      </c:pt>
                      <c:pt idx="16">
                        <c:v>116640.24</c:v>
                      </c:pt>
                      <c:pt idx="17">
                        <c:v>132724.65</c:v>
                      </c:pt>
                      <c:pt idx="18">
                        <c:v>124486.15</c:v>
                      </c:pt>
                      <c:pt idx="19" formatCode="General">
                        <c:v>124861.07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4BA-48DA-8244-7087EDB889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tint val="8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DATA!$E$2:$E$21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18423.580000000002</c:v>
                      </c:pt>
                      <c:pt idx="1">
                        <c:v>20824.57</c:v>
                      </c:pt>
                      <c:pt idx="2">
                        <c:v>24891.64</c:v>
                      </c:pt>
                      <c:pt idx="3">
                        <c:v>28223.85</c:v>
                      </c:pt>
                      <c:pt idx="4">
                        <c:v>31132.38</c:v>
                      </c:pt>
                      <c:pt idx="5">
                        <c:v>34664.81</c:v>
                      </c:pt>
                      <c:pt idx="6">
                        <c:v>46044.62</c:v>
                      </c:pt>
                      <c:pt idx="7">
                        <c:v>53488.74</c:v>
                      </c:pt>
                      <c:pt idx="8">
                        <c:v>60485.5</c:v>
                      </c:pt>
                      <c:pt idx="9">
                        <c:v>71746.429999999993</c:v>
                      </c:pt>
                      <c:pt idx="10">
                        <c:v>78689.47</c:v>
                      </c:pt>
                      <c:pt idx="11">
                        <c:v>91096.31</c:v>
                      </c:pt>
                      <c:pt idx="12">
                        <c:v>99948.35</c:v>
                      </c:pt>
                      <c:pt idx="13">
                        <c:v>110316.39</c:v>
                      </c:pt>
                      <c:pt idx="14">
                        <c:v>104719.92</c:v>
                      </c:pt>
                      <c:pt idx="15">
                        <c:v>123446.33</c:v>
                      </c:pt>
                      <c:pt idx="16">
                        <c:v>146179.51</c:v>
                      </c:pt>
                      <c:pt idx="17">
                        <c:v>141950.94</c:v>
                      </c:pt>
                      <c:pt idx="18">
                        <c:v>142626.34</c:v>
                      </c:pt>
                      <c:pt idx="19" formatCode="General">
                        <c:v>155920.79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4BA-48DA-8244-7087EDB889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DATA!$H$1</c15:sqref>
                        </c15:formulaRef>
                      </c:ext>
                    </c:extLst>
                    <c:strCache>
                      <c:ptCount val="1"/>
                      <c:pt idx="0">
                        <c:v>REVENUE DEFICIT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DATA!$H$2:$H$21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3129.15</c:v>
                      </c:pt>
                      <c:pt idx="1">
                        <c:v>2637.95</c:v>
                      </c:pt>
                      <c:pt idx="2">
                        <c:v>3784.84</c:v>
                      </c:pt>
                      <c:pt idx="3">
                        <c:v>3711.67</c:v>
                      </c:pt>
                      <c:pt idx="4">
                        <c:v>5022.97</c:v>
                      </c:pt>
                      <c:pt idx="5">
                        <c:v>3673.8599999999969</c:v>
                      </c:pt>
                      <c:pt idx="6">
                        <c:v>8034.260000000002</c:v>
                      </c:pt>
                      <c:pt idx="7">
                        <c:v>9351.43</c:v>
                      </c:pt>
                      <c:pt idx="8">
                        <c:v>11308.559999999998</c:v>
                      </c:pt>
                      <c:pt idx="9">
                        <c:v>13795.959999999992</c:v>
                      </c:pt>
                      <c:pt idx="10">
                        <c:v>9656.8099999999977</c:v>
                      </c:pt>
                      <c:pt idx="11">
                        <c:v>15484.589999999997</c:v>
                      </c:pt>
                      <c:pt idx="12">
                        <c:v>16928.210000000006</c:v>
                      </c:pt>
                      <c:pt idx="13">
                        <c:v>17461.919999999998</c:v>
                      </c:pt>
                      <c:pt idx="14">
                        <c:v>14495.25</c:v>
                      </c:pt>
                      <c:pt idx="15">
                        <c:v>25829.5</c:v>
                      </c:pt>
                      <c:pt idx="16">
                        <c:v>29539.270000000004</c:v>
                      </c:pt>
                      <c:pt idx="17">
                        <c:v>9226.2900000000081</c:v>
                      </c:pt>
                      <c:pt idx="18">
                        <c:v>18140.190000000002</c:v>
                      </c:pt>
                      <c:pt idx="19">
                        <c:v>31059.72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4BA-48DA-8244-7087EDB889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DATA!$J$1</c15:sqref>
                        </c15:formulaRef>
                      </c:ext>
                    </c:extLst>
                    <c:strCache>
                      <c:ptCount val="1"/>
                      <c:pt idx="0">
                        <c:v>GSDP AT CURRENT PRICES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shade val="8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DATA!$J$2:$J$21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124389.42</c:v>
                      </c:pt>
                      <c:pt idx="1">
                        <c:v>142470.04</c:v>
                      </c:pt>
                      <c:pt idx="2">
                        <c:v>175141.08</c:v>
                      </c:pt>
                      <c:pt idx="3">
                        <c:v>201019.75</c:v>
                      </c:pt>
                      <c:pt idx="4">
                        <c:v>230315.55</c:v>
                      </c:pt>
                      <c:pt idx="5">
                        <c:v>276996.7</c:v>
                      </c:pt>
                      <c:pt idx="6">
                        <c:v>364047.88</c:v>
                      </c:pt>
                      <c:pt idx="7">
                        <c:v>412313</c:v>
                      </c:pt>
                      <c:pt idx="8">
                        <c:v>465041.21</c:v>
                      </c:pt>
                      <c:pt idx="9">
                        <c:v>512564.05</c:v>
                      </c:pt>
                      <c:pt idx="10">
                        <c:v>561993.61</c:v>
                      </c:pt>
                      <c:pt idx="11">
                        <c:v>634886.40000000002</c:v>
                      </c:pt>
                      <c:pt idx="12">
                        <c:v>701588.26</c:v>
                      </c:pt>
                      <c:pt idx="13">
                        <c:v>788285.58</c:v>
                      </c:pt>
                      <c:pt idx="14">
                        <c:v>812934.63</c:v>
                      </c:pt>
                      <c:pt idx="15">
                        <c:v>771723.89</c:v>
                      </c:pt>
                      <c:pt idx="16">
                        <c:v>924465.42</c:v>
                      </c:pt>
                      <c:pt idx="17">
                        <c:v>1038734.06</c:v>
                      </c:pt>
                      <c:pt idx="18">
                        <c:v>1135371.56</c:v>
                      </c:pt>
                      <c:pt idx="19">
                        <c:v>1248533.01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4BA-48DA-8244-7087EDB889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shade val="58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DATA!$L$2:$L$21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14.811211435827904</c:v>
                      </c:pt>
                      <c:pt idx="1">
                        <c:v>14.616806452781228</c:v>
                      </c:pt>
                      <c:pt idx="2">
                        <c:v>14.212336705928729</c:v>
                      </c:pt>
                      <c:pt idx="3">
                        <c:v>14.040336832574907</c:v>
                      </c:pt>
                      <c:pt idx="4">
                        <c:v>13.5172722814417</c:v>
                      </c:pt>
                      <c:pt idx="5">
                        <c:v>12.514520931115786</c:v>
                      </c:pt>
                      <c:pt idx="6">
                        <c:v>12.64795718629099</c:v>
                      </c:pt>
                      <c:pt idx="7">
                        <c:v>12.972848297288712</c:v>
                      </c:pt>
                      <c:pt idx="8">
                        <c:v>13.006481726640956</c:v>
                      </c:pt>
                      <c:pt idx="9">
                        <c:v>13.997554061780178</c:v>
                      </c:pt>
                      <c:pt idx="10">
                        <c:v>14.00184425584483</c:v>
                      </c:pt>
                      <c:pt idx="11">
                        <c:v>14.348442493019222</c:v>
                      </c:pt>
                      <c:pt idx="12">
                        <c:v>14.246012326375018</c:v>
                      </c:pt>
                      <c:pt idx="13">
                        <c:v>13.994470125915534</c:v>
                      </c:pt>
                      <c:pt idx="14">
                        <c:v>12.881714732708582</c:v>
                      </c:pt>
                      <c:pt idx="15">
                        <c:v>15.99617837410735</c:v>
                      </c:pt>
                      <c:pt idx="16">
                        <c:v>15.812328599592185</c:v>
                      </c:pt>
                      <c:pt idx="17">
                        <c:v>13.665763496770289</c:v>
                      </c:pt>
                      <c:pt idx="18">
                        <c:v>12.562084961860414</c:v>
                      </c:pt>
                      <c:pt idx="19">
                        <c:v>12.488319391731581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4BA-48DA-8244-7087EDB889C5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DATA!$O$1</c15:sqref>
                        </c15:formulaRef>
                      </c:ext>
                    </c:extLst>
                    <c:strCache>
                      <c:ptCount val="1"/>
                      <c:pt idx="0">
                        <c:v>REVENUE DEFICIT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shade val="44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DATA!$O$2:$O$21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2.515607838673096</c:v>
                      </c:pt>
                      <c:pt idx="1">
                        <c:v>1.8515822695073292</c:v>
                      </c:pt>
                      <c:pt idx="2">
                        <c:v>2.1610235588361113</c:v>
                      </c:pt>
                      <c:pt idx="3">
                        <c:v>1.8464205631536206</c:v>
                      </c:pt>
                      <c:pt idx="4">
                        <c:v>2.1809078891981026</c:v>
                      </c:pt>
                      <c:pt idx="5">
                        <c:v>1.3263190500103419</c:v>
                      </c:pt>
                      <c:pt idx="6">
                        <c:v>2.2069239903278661</c:v>
                      </c:pt>
                      <c:pt idx="7">
                        <c:v>2.2680415121521755</c:v>
                      </c:pt>
                      <c:pt idx="8">
                        <c:v>2.4317328780389156</c:v>
                      </c:pt>
                      <c:pt idx="9">
                        <c:v>2.6915582550122257</c:v>
                      </c:pt>
                      <c:pt idx="10">
                        <c:v>1.7183131317098068</c:v>
                      </c:pt>
                      <c:pt idx="11">
                        <c:v>2.4389544334230497</c:v>
                      </c:pt>
                      <c:pt idx="12">
                        <c:v>2.4128411156708931</c:v>
                      </c:pt>
                      <c:pt idx="13">
                        <c:v>2.2151768905883067</c:v>
                      </c:pt>
                      <c:pt idx="14">
                        <c:v>1.7830769492499046</c:v>
                      </c:pt>
                      <c:pt idx="15">
                        <c:v>3.3469872236299434</c:v>
                      </c:pt>
                      <c:pt idx="16">
                        <c:v>3.1952812253377747</c:v>
                      </c:pt>
                      <c:pt idx="17">
                        <c:v>0.88822446045525916</c:v>
                      </c:pt>
                      <c:pt idx="18">
                        <c:v>1.597731583130372</c:v>
                      </c:pt>
                      <c:pt idx="19">
                        <c:v>2.4876971414636446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4BA-48DA-8244-7087EDB889C5}"/>
                  </c:ext>
                </c:extLst>
              </c15:ser>
            </c15:filteredLineSeries>
          </c:ext>
        </c:extLst>
      </c:lineChart>
      <c:catAx>
        <c:axId val="119508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0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4622368580670235"/>
              <c:y val="0.838322608713878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5089552"/>
        <c:crosses val="autoZero"/>
        <c:auto val="1"/>
        <c:lblAlgn val="ctr"/>
        <c:lblOffset val="100"/>
        <c:noMultiLvlLbl val="0"/>
      </c:catAx>
      <c:valAx>
        <c:axId val="119508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0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REVENUE RECEIPT RATIO</a:t>
                </a:r>
              </a:p>
            </c:rich>
          </c:tx>
          <c:layout>
            <c:manualLayout>
              <c:xMode val="edge"/>
              <c:yMode val="edge"/>
              <c:x val="1.4854550722526016E-2"/>
              <c:y val="0.177834282111402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508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Trend</a:t>
            </a:r>
            <a:r>
              <a:rPr lang="en-US" sz="1400" b="1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 Revenue Expenditure Ratio </a:t>
            </a:r>
            <a:r>
              <a:rPr lang="en-US" sz="1400" b="1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(% of GSDP)</a:t>
            </a:r>
            <a:r>
              <a:rPr lang="en-US" sz="1400" b="1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 Kerala (2005-2025)</a:t>
            </a:r>
            <a:endParaRPr lang="en-US" sz="1400" b="1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DATA!$L$1</c:f>
              <c:strCache>
                <c:ptCount val="1"/>
                <c:pt idx="0">
                  <c:v>REVENUE EXPENDITURE RATIO</c:v>
                </c:pt>
              </c:strCache>
            </c:strRef>
          </c:tx>
          <c:spPr>
            <a:ln w="28575" cap="rnd">
              <a:solidFill>
                <a:schemeClr val="accent6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58000"/>
                </a:schemeClr>
              </a:solidFill>
              <a:ln w="9525">
                <a:solidFill>
                  <a:schemeClr val="accent6">
                    <a:shade val="58000"/>
                  </a:schemeClr>
                </a:solidFill>
              </a:ln>
              <a:effectLst/>
            </c:spPr>
          </c:marker>
          <c:cat>
            <c:strRef>
              <c:f>DATA!$A$2:$A$21</c:f>
              <c:strCache>
                <c:ptCount val="20"/>
                <c:pt idx="0">
                  <c:v>2005-2006</c:v>
                </c:pt>
                <c:pt idx="1">
                  <c:v>2006-2007</c:v>
                </c:pt>
                <c:pt idx="2">
                  <c:v>2007-2008</c:v>
                </c:pt>
                <c:pt idx="3">
                  <c:v>2008-2009</c:v>
                </c:pt>
                <c:pt idx="4">
                  <c:v>2009-2010</c:v>
                </c:pt>
                <c:pt idx="5">
                  <c:v>2010-2011</c:v>
                </c:pt>
                <c:pt idx="6">
                  <c:v>2011-2012</c:v>
                </c:pt>
                <c:pt idx="7">
                  <c:v>2012-2013</c:v>
                </c:pt>
                <c:pt idx="8">
                  <c:v>2013-2014</c:v>
                </c:pt>
                <c:pt idx="9">
                  <c:v>2014-2015</c:v>
                </c:pt>
                <c:pt idx="10">
                  <c:v>2015-2016</c:v>
                </c:pt>
                <c:pt idx="11">
                  <c:v>2016-2017</c:v>
                </c:pt>
                <c:pt idx="12">
                  <c:v>2017-2018</c:v>
                </c:pt>
                <c:pt idx="13">
                  <c:v>2018-2019</c:v>
                </c:pt>
                <c:pt idx="14">
                  <c:v>2019-2020</c:v>
                </c:pt>
                <c:pt idx="15">
                  <c:v>2020-2021</c:v>
                </c:pt>
                <c:pt idx="16">
                  <c:v>2021-2022</c:v>
                </c:pt>
                <c:pt idx="17">
                  <c:v>2022-2023</c:v>
                </c:pt>
                <c:pt idx="18">
                  <c:v>2023-2024</c:v>
                </c:pt>
                <c:pt idx="19">
                  <c:v>2024-2025</c:v>
                </c:pt>
              </c:strCache>
            </c:strRef>
          </c:cat>
          <c:val>
            <c:numRef>
              <c:f>DATA!$L$2:$L$21</c:f>
              <c:numCache>
                <c:formatCode>0.00</c:formatCode>
                <c:ptCount val="20"/>
                <c:pt idx="0">
                  <c:v>14.811211435827904</c:v>
                </c:pt>
                <c:pt idx="1">
                  <c:v>14.616806452781228</c:v>
                </c:pt>
                <c:pt idx="2">
                  <c:v>14.212336705928729</c:v>
                </c:pt>
                <c:pt idx="3">
                  <c:v>14.040336832574907</c:v>
                </c:pt>
                <c:pt idx="4">
                  <c:v>13.5172722814417</c:v>
                </c:pt>
                <c:pt idx="5">
                  <c:v>12.514520931115786</c:v>
                </c:pt>
                <c:pt idx="6">
                  <c:v>12.64795718629099</c:v>
                </c:pt>
                <c:pt idx="7">
                  <c:v>12.972848297288712</c:v>
                </c:pt>
                <c:pt idx="8">
                  <c:v>13.006481726640956</c:v>
                </c:pt>
                <c:pt idx="9">
                  <c:v>13.997554061780178</c:v>
                </c:pt>
                <c:pt idx="10">
                  <c:v>14.00184425584483</c:v>
                </c:pt>
                <c:pt idx="11">
                  <c:v>14.348442493019222</c:v>
                </c:pt>
                <c:pt idx="12">
                  <c:v>14.246012326375018</c:v>
                </c:pt>
                <c:pt idx="13">
                  <c:v>13.994470125915534</c:v>
                </c:pt>
                <c:pt idx="14">
                  <c:v>12.881714732708582</c:v>
                </c:pt>
                <c:pt idx="15">
                  <c:v>15.99617837410735</c:v>
                </c:pt>
                <c:pt idx="16">
                  <c:v>15.812328599592185</c:v>
                </c:pt>
                <c:pt idx="17">
                  <c:v>13.665763496770289</c:v>
                </c:pt>
                <c:pt idx="18">
                  <c:v>12.562084961860414</c:v>
                </c:pt>
                <c:pt idx="19">
                  <c:v>12.488319391731581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E-48D6-8A1D-EC9CD1738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2201024"/>
        <c:axId val="13221856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DATA!$B$1</c15:sqref>
                        </c15:formulaRef>
                      </c:ext>
                    </c:extLst>
                    <c:strCache>
                      <c:ptCount val="1"/>
                      <c:pt idx="0">
                        <c:v>OWN 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tint val="44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DATA!$B$2:$B$21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9779.64</c:v>
                      </c:pt>
                      <c:pt idx="1">
                        <c:v>11941.82</c:v>
                      </c:pt>
                      <c:pt idx="2">
                        <c:v>13668.95</c:v>
                      </c:pt>
                      <c:pt idx="3">
                        <c:v>15990.18</c:v>
                      </c:pt>
                      <c:pt idx="4">
                        <c:v>17625.02</c:v>
                      </c:pt>
                      <c:pt idx="5">
                        <c:v>21721.69</c:v>
                      </c:pt>
                      <c:pt idx="6" formatCode="0.0">
                        <c:v>25718.6</c:v>
                      </c:pt>
                      <c:pt idx="7">
                        <c:v>30076.61</c:v>
                      </c:pt>
                      <c:pt idx="8">
                        <c:v>31995.02</c:v>
                      </c:pt>
                      <c:pt idx="9" formatCode="0.0">
                        <c:v>35232.5</c:v>
                      </c:pt>
                      <c:pt idx="10">
                        <c:v>38995.15</c:v>
                      </c:pt>
                      <c:pt idx="11">
                        <c:v>42176.38</c:v>
                      </c:pt>
                      <c:pt idx="12">
                        <c:v>46459.61</c:v>
                      </c:pt>
                      <c:pt idx="13" formatCode="0.0">
                        <c:v>50644.1</c:v>
                      </c:pt>
                      <c:pt idx="14">
                        <c:v>50323.14</c:v>
                      </c:pt>
                      <c:pt idx="15">
                        <c:v>47660.84</c:v>
                      </c:pt>
                      <c:pt idx="16">
                        <c:v>58340.52</c:v>
                      </c:pt>
                      <c:pt idx="17">
                        <c:v>71968.160000000003</c:v>
                      </c:pt>
                      <c:pt idx="18">
                        <c:v>74329.009999999995</c:v>
                      </c:pt>
                      <c:pt idx="19" formatCode="General">
                        <c:v>76642.2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53E-48D6-8A1D-EC9CD1738A7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DATA!$C$1</c15:sqref>
                        </c15:formulaRef>
                      </c:ext>
                    </c:extLst>
                    <c:strCache>
                      <c:ptCount val="1"/>
                      <c:pt idx="0">
                        <c:v>OWN NON-TAX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tint val="58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DATA!$C$2:$C$21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936.77</c:v>
                      </c:pt>
                      <c:pt idx="1">
                        <c:v>937.57</c:v>
                      </c:pt>
                      <c:pt idx="2">
                        <c:v>1209.55</c:v>
                      </c:pt>
                      <c:pt idx="3">
                        <c:v>1559.29</c:v>
                      </c:pt>
                      <c:pt idx="4">
                        <c:v>1852.22</c:v>
                      </c:pt>
                      <c:pt idx="5">
                        <c:v>1930.79</c:v>
                      </c:pt>
                      <c:pt idx="6">
                        <c:v>2592.1799999999998</c:v>
                      </c:pt>
                      <c:pt idx="7">
                        <c:v>4198.5200000000004</c:v>
                      </c:pt>
                      <c:pt idx="8">
                        <c:v>5575.03</c:v>
                      </c:pt>
                      <c:pt idx="9">
                        <c:v>7283.69</c:v>
                      </c:pt>
                      <c:pt idx="10">
                        <c:v>8425.49</c:v>
                      </c:pt>
                      <c:pt idx="11">
                        <c:v>9699.98</c:v>
                      </c:pt>
                      <c:pt idx="12">
                        <c:v>11199.61</c:v>
                      </c:pt>
                      <c:pt idx="13">
                        <c:v>11783.24</c:v>
                      </c:pt>
                      <c:pt idx="14">
                        <c:v>12265.22</c:v>
                      </c:pt>
                      <c:pt idx="15">
                        <c:v>7327.31</c:v>
                      </c:pt>
                      <c:pt idx="16">
                        <c:v>10462.51</c:v>
                      </c:pt>
                      <c:pt idx="17">
                        <c:v>15117.96</c:v>
                      </c:pt>
                      <c:pt idx="18">
                        <c:v>16345.96</c:v>
                      </c:pt>
                      <c:pt idx="19" formatCode="General">
                        <c:v>16486.62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53E-48D6-8A1D-EC9CD1738A7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DATA!$D$1</c15:sqref>
                        </c15:formulaRef>
                      </c:ext>
                    </c:extLst>
                    <c:strCache>
                      <c:ptCount val="1"/>
                      <c:pt idx="0">
                        <c:v>REVENUE RECEIPT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tint val="7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DATA!$D$2:$D$21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15294.52</c:v>
                      </c:pt>
                      <c:pt idx="1">
                        <c:v>18186.62</c:v>
                      </c:pt>
                      <c:pt idx="2">
                        <c:v>21106.79</c:v>
                      </c:pt>
                      <c:pt idx="3">
                        <c:v>24512.18</c:v>
                      </c:pt>
                      <c:pt idx="4">
                        <c:v>26109.4</c:v>
                      </c:pt>
                      <c:pt idx="5">
                        <c:v>30990.95</c:v>
                      </c:pt>
                      <c:pt idx="6">
                        <c:v>38010.36</c:v>
                      </c:pt>
                      <c:pt idx="7">
                        <c:v>44137.31</c:v>
                      </c:pt>
                      <c:pt idx="8">
                        <c:v>49176.94</c:v>
                      </c:pt>
                      <c:pt idx="9">
                        <c:v>57950.47</c:v>
                      </c:pt>
                      <c:pt idx="10">
                        <c:v>69032.66</c:v>
                      </c:pt>
                      <c:pt idx="11">
                        <c:v>75611.72</c:v>
                      </c:pt>
                      <c:pt idx="12">
                        <c:v>83020.14</c:v>
                      </c:pt>
                      <c:pt idx="13">
                        <c:v>92854.47</c:v>
                      </c:pt>
                      <c:pt idx="14">
                        <c:v>90224.67</c:v>
                      </c:pt>
                      <c:pt idx="15">
                        <c:v>97616.83</c:v>
                      </c:pt>
                      <c:pt idx="16">
                        <c:v>116640.24</c:v>
                      </c:pt>
                      <c:pt idx="17">
                        <c:v>132724.65</c:v>
                      </c:pt>
                      <c:pt idx="18">
                        <c:v>124486.15</c:v>
                      </c:pt>
                      <c:pt idx="19" formatCode="General">
                        <c:v>124861.07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53E-48D6-8A1D-EC9CD1738A7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tint val="8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DATA!$E$2:$E$21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18423.580000000002</c:v>
                      </c:pt>
                      <c:pt idx="1">
                        <c:v>20824.57</c:v>
                      </c:pt>
                      <c:pt idx="2">
                        <c:v>24891.64</c:v>
                      </c:pt>
                      <c:pt idx="3">
                        <c:v>28223.85</c:v>
                      </c:pt>
                      <c:pt idx="4">
                        <c:v>31132.38</c:v>
                      </c:pt>
                      <c:pt idx="5">
                        <c:v>34664.81</c:v>
                      </c:pt>
                      <c:pt idx="6">
                        <c:v>46044.62</c:v>
                      </c:pt>
                      <c:pt idx="7">
                        <c:v>53488.74</c:v>
                      </c:pt>
                      <c:pt idx="8">
                        <c:v>60485.5</c:v>
                      </c:pt>
                      <c:pt idx="9">
                        <c:v>71746.429999999993</c:v>
                      </c:pt>
                      <c:pt idx="10">
                        <c:v>78689.47</c:v>
                      </c:pt>
                      <c:pt idx="11">
                        <c:v>91096.31</c:v>
                      </c:pt>
                      <c:pt idx="12">
                        <c:v>99948.35</c:v>
                      </c:pt>
                      <c:pt idx="13">
                        <c:v>110316.39</c:v>
                      </c:pt>
                      <c:pt idx="14">
                        <c:v>104719.92</c:v>
                      </c:pt>
                      <c:pt idx="15">
                        <c:v>123446.33</c:v>
                      </c:pt>
                      <c:pt idx="16">
                        <c:v>146179.51</c:v>
                      </c:pt>
                      <c:pt idx="17">
                        <c:v>141950.94</c:v>
                      </c:pt>
                      <c:pt idx="18">
                        <c:v>142626.34</c:v>
                      </c:pt>
                      <c:pt idx="19" formatCode="General">
                        <c:v>155920.79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53E-48D6-8A1D-EC9CD1738A7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DATA!$H$1</c15:sqref>
                        </c15:formulaRef>
                      </c:ext>
                    </c:extLst>
                    <c:strCache>
                      <c:ptCount val="1"/>
                      <c:pt idx="0">
                        <c:v>REVENUE DEFICIT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DATA!$H$2:$H$21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3129.15</c:v>
                      </c:pt>
                      <c:pt idx="1">
                        <c:v>2637.95</c:v>
                      </c:pt>
                      <c:pt idx="2">
                        <c:v>3784.84</c:v>
                      </c:pt>
                      <c:pt idx="3">
                        <c:v>3711.67</c:v>
                      </c:pt>
                      <c:pt idx="4">
                        <c:v>5022.97</c:v>
                      </c:pt>
                      <c:pt idx="5">
                        <c:v>3673.8599999999969</c:v>
                      </c:pt>
                      <c:pt idx="6">
                        <c:v>8034.260000000002</c:v>
                      </c:pt>
                      <c:pt idx="7">
                        <c:v>9351.43</c:v>
                      </c:pt>
                      <c:pt idx="8">
                        <c:v>11308.559999999998</c:v>
                      </c:pt>
                      <c:pt idx="9">
                        <c:v>13795.959999999992</c:v>
                      </c:pt>
                      <c:pt idx="10">
                        <c:v>9656.8099999999977</c:v>
                      </c:pt>
                      <c:pt idx="11">
                        <c:v>15484.589999999997</c:v>
                      </c:pt>
                      <c:pt idx="12">
                        <c:v>16928.210000000006</c:v>
                      </c:pt>
                      <c:pt idx="13">
                        <c:v>17461.919999999998</c:v>
                      </c:pt>
                      <c:pt idx="14">
                        <c:v>14495.25</c:v>
                      </c:pt>
                      <c:pt idx="15">
                        <c:v>25829.5</c:v>
                      </c:pt>
                      <c:pt idx="16">
                        <c:v>29539.270000000004</c:v>
                      </c:pt>
                      <c:pt idx="17">
                        <c:v>9226.2900000000081</c:v>
                      </c:pt>
                      <c:pt idx="18">
                        <c:v>18140.190000000002</c:v>
                      </c:pt>
                      <c:pt idx="19">
                        <c:v>31059.72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53E-48D6-8A1D-EC9CD1738A7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DATA!$J$1</c15:sqref>
                        </c15:formulaRef>
                      </c:ext>
                    </c:extLst>
                    <c:strCache>
                      <c:ptCount val="1"/>
                      <c:pt idx="0">
                        <c:v>GSDP AT CURRENT PRICES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shade val="8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DATA!$J$2:$J$21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124389.42</c:v>
                      </c:pt>
                      <c:pt idx="1">
                        <c:v>142470.04</c:v>
                      </c:pt>
                      <c:pt idx="2">
                        <c:v>175141.08</c:v>
                      </c:pt>
                      <c:pt idx="3">
                        <c:v>201019.75</c:v>
                      </c:pt>
                      <c:pt idx="4">
                        <c:v>230315.55</c:v>
                      </c:pt>
                      <c:pt idx="5">
                        <c:v>276996.7</c:v>
                      </c:pt>
                      <c:pt idx="6">
                        <c:v>364047.88</c:v>
                      </c:pt>
                      <c:pt idx="7">
                        <c:v>412313</c:v>
                      </c:pt>
                      <c:pt idx="8">
                        <c:v>465041.21</c:v>
                      </c:pt>
                      <c:pt idx="9">
                        <c:v>512564.05</c:v>
                      </c:pt>
                      <c:pt idx="10">
                        <c:v>561993.61</c:v>
                      </c:pt>
                      <c:pt idx="11">
                        <c:v>634886.40000000002</c:v>
                      </c:pt>
                      <c:pt idx="12">
                        <c:v>701588.26</c:v>
                      </c:pt>
                      <c:pt idx="13">
                        <c:v>788285.58</c:v>
                      </c:pt>
                      <c:pt idx="14">
                        <c:v>812934.63</c:v>
                      </c:pt>
                      <c:pt idx="15">
                        <c:v>771723.89</c:v>
                      </c:pt>
                      <c:pt idx="16">
                        <c:v>924465.42</c:v>
                      </c:pt>
                      <c:pt idx="17">
                        <c:v>1038734.06</c:v>
                      </c:pt>
                      <c:pt idx="18">
                        <c:v>1135371.56</c:v>
                      </c:pt>
                      <c:pt idx="19">
                        <c:v>1248533.01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53E-48D6-8A1D-EC9CD1738A7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DATA!$K$1</c15:sqref>
                        </c15:formulaRef>
                      </c:ext>
                    </c:extLst>
                    <c:strCache>
                      <c:ptCount val="1"/>
                      <c:pt idx="0">
                        <c:v>REVENUE RECEIPT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shade val="7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DATA!$K$2:$K$21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12.29567595057522</c:v>
                      </c:pt>
                      <c:pt idx="1">
                        <c:v>12.765224183273899</c:v>
                      </c:pt>
                      <c:pt idx="2">
                        <c:v>12.051307437409889</c:v>
                      </c:pt>
                      <c:pt idx="3">
                        <c:v>12.193916269421289</c:v>
                      </c:pt>
                      <c:pt idx="4">
                        <c:v>11.336360050374369</c:v>
                      </c:pt>
                      <c:pt idx="5">
                        <c:v>11.188201881105444</c:v>
                      </c:pt>
                      <c:pt idx="6">
                        <c:v>10.441033195963124</c:v>
                      </c:pt>
                      <c:pt idx="7">
                        <c:v>10.704806785136533</c:v>
                      </c:pt>
                      <c:pt idx="8">
                        <c:v>10.57474884860204</c:v>
                      </c:pt>
                      <c:pt idx="9">
                        <c:v>11.305995806767955</c:v>
                      </c:pt>
                      <c:pt idx="10">
                        <c:v>12.283531124135024</c:v>
                      </c:pt>
                      <c:pt idx="11">
                        <c:v>11.909488059596175</c:v>
                      </c:pt>
                      <c:pt idx="12">
                        <c:v>11.833171210704124</c:v>
                      </c:pt>
                      <c:pt idx="13">
                        <c:v>11.779293235327229</c:v>
                      </c:pt>
                      <c:pt idx="14">
                        <c:v>11.098637783458678</c:v>
                      </c:pt>
                      <c:pt idx="15">
                        <c:v>12.649191150477407</c:v>
                      </c:pt>
                      <c:pt idx="16">
                        <c:v>12.617047374254408</c:v>
                      </c:pt>
                      <c:pt idx="17">
                        <c:v>12.77753903631503</c:v>
                      </c:pt>
                      <c:pt idx="18">
                        <c:v>10.964353378730042</c:v>
                      </c:pt>
                      <c:pt idx="19">
                        <c:v>10.000622250267938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53E-48D6-8A1D-EC9CD1738A7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DATA!$O$1</c15:sqref>
                        </c15:formulaRef>
                      </c:ext>
                    </c:extLst>
                    <c:strCache>
                      <c:ptCount val="1"/>
                      <c:pt idx="0">
                        <c:v>REVENUE DEFICIT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shade val="44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DATA!$O$2:$O$21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2.515607838673096</c:v>
                      </c:pt>
                      <c:pt idx="1">
                        <c:v>1.8515822695073292</c:v>
                      </c:pt>
                      <c:pt idx="2">
                        <c:v>2.1610235588361113</c:v>
                      </c:pt>
                      <c:pt idx="3">
                        <c:v>1.8464205631536206</c:v>
                      </c:pt>
                      <c:pt idx="4">
                        <c:v>2.1809078891981026</c:v>
                      </c:pt>
                      <c:pt idx="5">
                        <c:v>1.3263190500103419</c:v>
                      </c:pt>
                      <c:pt idx="6">
                        <c:v>2.2069239903278661</c:v>
                      </c:pt>
                      <c:pt idx="7">
                        <c:v>2.2680415121521755</c:v>
                      </c:pt>
                      <c:pt idx="8">
                        <c:v>2.4317328780389156</c:v>
                      </c:pt>
                      <c:pt idx="9">
                        <c:v>2.6915582550122257</c:v>
                      </c:pt>
                      <c:pt idx="10">
                        <c:v>1.7183131317098068</c:v>
                      </c:pt>
                      <c:pt idx="11">
                        <c:v>2.4389544334230497</c:v>
                      </c:pt>
                      <c:pt idx="12">
                        <c:v>2.4128411156708931</c:v>
                      </c:pt>
                      <c:pt idx="13">
                        <c:v>2.2151768905883067</c:v>
                      </c:pt>
                      <c:pt idx="14">
                        <c:v>1.7830769492499046</c:v>
                      </c:pt>
                      <c:pt idx="15">
                        <c:v>3.3469872236299434</c:v>
                      </c:pt>
                      <c:pt idx="16">
                        <c:v>3.1952812253377747</c:v>
                      </c:pt>
                      <c:pt idx="17">
                        <c:v>0.88822446045525916</c:v>
                      </c:pt>
                      <c:pt idx="18">
                        <c:v>1.597731583130372</c:v>
                      </c:pt>
                      <c:pt idx="19">
                        <c:v>2.4876971414636446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53E-48D6-8A1D-EC9CD1738A76}"/>
                  </c:ext>
                </c:extLst>
              </c15:ser>
            </c15:filteredLineSeries>
          </c:ext>
        </c:extLst>
      </c:lineChart>
      <c:catAx>
        <c:axId val="1322201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4923758610068315"/>
              <c:y val="0.847903102968180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22185664"/>
        <c:crosses val="autoZero"/>
        <c:auto val="1"/>
        <c:lblAlgn val="ctr"/>
        <c:lblOffset val="100"/>
        <c:noMultiLvlLbl val="0"/>
      </c:catAx>
      <c:valAx>
        <c:axId val="132218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 </a:t>
                </a:r>
                <a:r>
                  <a:rPr lang="en-IN" sz="10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REVENUE</a:t>
                </a:r>
                <a:r>
                  <a:rPr lang="en-IN" sz="1000" b="1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EXPENDITURE RATIO</a:t>
                </a:r>
                <a:endParaRPr lang="en-IN" sz="1000" b="1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7316017316017316E-2"/>
              <c:y val="0.124337337601998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2220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Trend</a:t>
            </a:r>
            <a:r>
              <a:rPr lang="en-US" sz="1400" b="1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 Revenue Deficit Ratio </a:t>
            </a:r>
            <a:r>
              <a:rPr lang="en-US" sz="1400" b="1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(% OF GSDP) in Kerala (2005-2025)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8"/>
          <c:order val="8"/>
          <c:tx>
            <c:strRef>
              <c:f>DATA!$O$1</c:f>
              <c:strCache>
                <c:ptCount val="1"/>
                <c:pt idx="0">
                  <c:v>REVENUE DEFICIT RATIO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DATA!$A$2:$A$21</c:f>
              <c:strCache>
                <c:ptCount val="20"/>
                <c:pt idx="0">
                  <c:v>2005-2006</c:v>
                </c:pt>
                <c:pt idx="1">
                  <c:v>2006-2007</c:v>
                </c:pt>
                <c:pt idx="2">
                  <c:v>2007-2008</c:v>
                </c:pt>
                <c:pt idx="3">
                  <c:v>2008-2009</c:v>
                </c:pt>
                <c:pt idx="4">
                  <c:v>2009-2010</c:v>
                </c:pt>
                <c:pt idx="5">
                  <c:v>2010-2011</c:v>
                </c:pt>
                <c:pt idx="6">
                  <c:v>2011-2012</c:v>
                </c:pt>
                <c:pt idx="7">
                  <c:v>2012-2013</c:v>
                </c:pt>
                <c:pt idx="8">
                  <c:v>2013-2014</c:v>
                </c:pt>
                <c:pt idx="9">
                  <c:v>2014-2015</c:v>
                </c:pt>
                <c:pt idx="10">
                  <c:v>2015-2016</c:v>
                </c:pt>
                <c:pt idx="11">
                  <c:v>2016-2017</c:v>
                </c:pt>
                <c:pt idx="12">
                  <c:v>2017-2018</c:v>
                </c:pt>
                <c:pt idx="13">
                  <c:v>2018-2019</c:v>
                </c:pt>
                <c:pt idx="14">
                  <c:v>2019-2020</c:v>
                </c:pt>
                <c:pt idx="15">
                  <c:v>2020-2021</c:v>
                </c:pt>
                <c:pt idx="16">
                  <c:v>2021-2022</c:v>
                </c:pt>
                <c:pt idx="17">
                  <c:v>2022-2023</c:v>
                </c:pt>
                <c:pt idx="18">
                  <c:v>2023-2024</c:v>
                </c:pt>
                <c:pt idx="19">
                  <c:v>2024-2025</c:v>
                </c:pt>
              </c:strCache>
            </c:strRef>
          </c:cat>
          <c:val>
            <c:numRef>
              <c:f>DATA!$O$2:$O$21</c:f>
              <c:numCache>
                <c:formatCode>0.00</c:formatCode>
                <c:ptCount val="20"/>
                <c:pt idx="0">
                  <c:v>2.515607838673096</c:v>
                </c:pt>
                <c:pt idx="1">
                  <c:v>1.8515822695073292</c:v>
                </c:pt>
                <c:pt idx="2">
                  <c:v>2.1610235588361113</c:v>
                </c:pt>
                <c:pt idx="3">
                  <c:v>1.8464205631536206</c:v>
                </c:pt>
                <c:pt idx="4">
                  <c:v>2.1809078891981026</c:v>
                </c:pt>
                <c:pt idx="5">
                  <c:v>1.3263190500103419</c:v>
                </c:pt>
                <c:pt idx="6">
                  <c:v>2.2069239903278661</c:v>
                </c:pt>
                <c:pt idx="7">
                  <c:v>2.2680415121521755</c:v>
                </c:pt>
                <c:pt idx="8">
                  <c:v>2.4317328780389156</c:v>
                </c:pt>
                <c:pt idx="9">
                  <c:v>2.6915582550122257</c:v>
                </c:pt>
                <c:pt idx="10">
                  <c:v>1.7183131317098068</c:v>
                </c:pt>
                <c:pt idx="11">
                  <c:v>2.4389544334230497</c:v>
                </c:pt>
                <c:pt idx="12">
                  <c:v>2.4128411156708931</c:v>
                </c:pt>
                <c:pt idx="13">
                  <c:v>2.2151768905883067</c:v>
                </c:pt>
                <c:pt idx="14">
                  <c:v>1.7830769492499046</c:v>
                </c:pt>
                <c:pt idx="15">
                  <c:v>3.3469872236299434</c:v>
                </c:pt>
                <c:pt idx="16">
                  <c:v>3.1952812253377747</c:v>
                </c:pt>
                <c:pt idx="17">
                  <c:v>0.88822446045525916</c:v>
                </c:pt>
                <c:pt idx="18">
                  <c:v>1.597731583130372</c:v>
                </c:pt>
                <c:pt idx="19">
                  <c:v>2.4876971414636446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46-4E87-B27E-22573E25A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261344"/>
        <c:axId val="5072546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DATA!$B$1</c15:sqref>
                        </c15:formulaRef>
                      </c:ext>
                    </c:extLst>
                    <c:strCache>
                      <c:ptCount val="1"/>
                      <c:pt idx="0">
                        <c:v>OWN 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DATA!$B$2:$B$21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9779.64</c:v>
                      </c:pt>
                      <c:pt idx="1">
                        <c:v>11941.82</c:v>
                      </c:pt>
                      <c:pt idx="2">
                        <c:v>13668.95</c:v>
                      </c:pt>
                      <c:pt idx="3">
                        <c:v>15990.18</c:v>
                      </c:pt>
                      <c:pt idx="4">
                        <c:v>17625.02</c:v>
                      </c:pt>
                      <c:pt idx="5">
                        <c:v>21721.69</c:v>
                      </c:pt>
                      <c:pt idx="6" formatCode="0.0">
                        <c:v>25718.6</c:v>
                      </c:pt>
                      <c:pt idx="7">
                        <c:v>30076.61</c:v>
                      </c:pt>
                      <c:pt idx="8">
                        <c:v>31995.02</c:v>
                      </c:pt>
                      <c:pt idx="9" formatCode="0.0">
                        <c:v>35232.5</c:v>
                      </c:pt>
                      <c:pt idx="10">
                        <c:v>38995.15</c:v>
                      </c:pt>
                      <c:pt idx="11">
                        <c:v>42176.38</c:v>
                      </c:pt>
                      <c:pt idx="12">
                        <c:v>46459.61</c:v>
                      </c:pt>
                      <c:pt idx="13" formatCode="0.0">
                        <c:v>50644.1</c:v>
                      </c:pt>
                      <c:pt idx="14">
                        <c:v>50323.14</c:v>
                      </c:pt>
                      <c:pt idx="15">
                        <c:v>47660.84</c:v>
                      </c:pt>
                      <c:pt idx="16">
                        <c:v>58340.52</c:v>
                      </c:pt>
                      <c:pt idx="17">
                        <c:v>71968.160000000003</c:v>
                      </c:pt>
                      <c:pt idx="18">
                        <c:v>74329.009999999995</c:v>
                      </c:pt>
                      <c:pt idx="19" formatCode="General">
                        <c:v>76642.2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046-4E87-B27E-22573E25AA2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DATA!$C$1</c15:sqref>
                        </c15:formulaRef>
                      </c:ext>
                    </c:extLst>
                    <c:strCache>
                      <c:ptCount val="1"/>
                      <c:pt idx="0">
                        <c:v>OWN NON-TAX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DATA!$C$2:$C$21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936.77</c:v>
                      </c:pt>
                      <c:pt idx="1">
                        <c:v>937.57</c:v>
                      </c:pt>
                      <c:pt idx="2">
                        <c:v>1209.55</c:v>
                      </c:pt>
                      <c:pt idx="3">
                        <c:v>1559.29</c:v>
                      </c:pt>
                      <c:pt idx="4">
                        <c:v>1852.22</c:v>
                      </c:pt>
                      <c:pt idx="5">
                        <c:v>1930.79</c:v>
                      </c:pt>
                      <c:pt idx="6">
                        <c:v>2592.1799999999998</c:v>
                      </c:pt>
                      <c:pt idx="7">
                        <c:v>4198.5200000000004</c:v>
                      </c:pt>
                      <c:pt idx="8">
                        <c:v>5575.03</c:v>
                      </c:pt>
                      <c:pt idx="9">
                        <c:v>7283.69</c:v>
                      </c:pt>
                      <c:pt idx="10">
                        <c:v>8425.49</c:v>
                      </c:pt>
                      <c:pt idx="11">
                        <c:v>9699.98</c:v>
                      </c:pt>
                      <c:pt idx="12">
                        <c:v>11199.61</c:v>
                      </c:pt>
                      <c:pt idx="13">
                        <c:v>11783.24</c:v>
                      </c:pt>
                      <c:pt idx="14">
                        <c:v>12265.22</c:v>
                      </c:pt>
                      <c:pt idx="15">
                        <c:v>7327.31</c:v>
                      </c:pt>
                      <c:pt idx="16">
                        <c:v>10462.51</c:v>
                      </c:pt>
                      <c:pt idx="17">
                        <c:v>15117.96</c:v>
                      </c:pt>
                      <c:pt idx="18">
                        <c:v>16345.96</c:v>
                      </c:pt>
                      <c:pt idx="19" formatCode="General">
                        <c:v>16486.62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046-4E87-B27E-22573E25AA2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DATA!$D$1</c15:sqref>
                        </c15:formulaRef>
                      </c:ext>
                    </c:extLst>
                    <c:strCache>
                      <c:ptCount val="1"/>
                      <c:pt idx="0">
                        <c:v>REVENUE RECEIPT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DATA!$D$2:$D$21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15294.52</c:v>
                      </c:pt>
                      <c:pt idx="1">
                        <c:v>18186.62</c:v>
                      </c:pt>
                      <c:pt idx="2">
                        <c:v>21106.79</c:v>
                      </c:pt>
                      <c:pt idx="3">
                        <c:v>24512.18</c:v>
                      </c:pt>
                      <c:pt idx="4">
                        <c:v>26109.4</c:v>
                      </c:pt>
                      <c:pt idx="5">
                        <c:v>30990.95</c:v>
                      </c:pt>
                      <c:pt idx="6">
                        <c:v>38010.36</c:v>
                      </c:pt>
                      <c:pt idx="7">
                        <c:v>44137.31</c:v>
                      </c:pt>
                      <c:pt idx="8">
                        <c:v>49176.94</c:v>
                      </c:pt>
                      <c:pt idx="9">
                        <c:v>57950.47</c:v>
                      </c:pt>
                      <c:pt idx="10">
                        <c:v>69032.66</c:v>
                      </c:pt>
                      <c:pt idx="11">
                        <c:v>75611.72</c:v>
                      </c:pt>
                      <c:pt idx="12">
                        <c:v>83020.14</c:v>
                      </c:pt>
                      <c:pt idx="13">
                        <c:v>92854.47</c:v>
                      </c:pt>
                      <c:pt idx="14">
                        <c:v>90224.67</c:v>
                      </c:pt>
                      <c:pt idx="15">
                        <c:v>97616.83</c:v>
                      </c:pt>
                      <c:pt idx="16">
                        <c:v>116640.24</c:v>
                      </c:pt>
                      <c:pt idx="17">
                        <c:v>132724.65</c:v>
                      </c:pt>
                      <c:pt idx="18">
                        <c:v>124486.15</c:v>
                      </c:pt>
                      <c:pt idx="19" formatCode="General">
                        <c:v>124861.07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046-4E87-B27E-22573E25AA2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DATA!$E$2:$E$21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18423.580000000002</c:v>
                      </c:pt>
                      <c:pt idx="1">
                        <c:v>20824.57</c:v>
                      </c:pt>
                      <c:pt idx="2">
                        <c:v>24891.64</c:v>
                      </c:pt>
                      <c:pt idx="3">
                        <c:v>28223.85</c:v>
                      </c:pt>
                      <c:pt idx="4">
                        <c:v>31132.38</c:v>
                      </c:pt>
                      <c:pt idx="5">
                        <c:v>34664.81</c:v>
                      </c:pt>
                      <c:pt idx="6">
                        <c:v>46044.62</c:v>
                      </c:pt>
                      <c:pt idx="7">
                        <c:v>53488.74</c:v>
                      </c:pt>
                      <c:pt idx="8">
                        <c:v>60485.5</c:v>
                      </c:pt>
                      <c:pt idx="9">
                        <c:v>71746.429999999993</c:v>
                      </c:pt>
                      <c:pt idx="10">
                        <c:v>78689.47</c:v>
                      </c:pt>
                      <c:pt idx="11">
                        <c:v>91096.31</c:v>
                      </c:pt>
                      <c:pt idx="12">
                        <c:v>99948.35</c:v>
                      </c:pt>
                      <c:pt idx="13">
                        <c:v>110316.39</c:v>
                      </c:pt>
                      <c:pt idx="14">
                        <c:v>104719.92</c:v>
                      </c:pt>
                      <c:pt idx="15">
                        <c:v>123446.33</c:v>
                      </c:pt>
                      <c:pt idx="16">
                        <c:v>146179.51</c:v>
                      </c:pt>
                      <c:pt idx="17">
                        <c:v>141950.94</c:v>
                      </c:pt>
                      <c:pt idx="18">
                        <c:v>142626.34</c:v>
                      </c:pt>
                      <c:pt idx="19" formatCode="General">
                        <c:v>155920.79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046-4E87-B27E-22573E25AA2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DATA!$H$1</c15:sqref>
                        </c15:formulaRef>
                      </c:ext>
                    </c:extLst>
                    <c:strCache>
                      <c:ptCount val="1"/>
                      <c:pt idx="0">
                        <c:v>REVENUE DEFICIT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DATA!$H$2:$H$21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3129.15</c:v>
                      </c:pt>
                      <c:pt idx="1">
                        <c:v>2637.95</c:v>
                      </c:pt>
                      <c:pt idx="2">
                        <c:v>3784.84</c:v>
                      </c:pt>
                      <c:pt idx="3">
                        <c:v>3711.67</c:v>
                      </c:pt>
                      <c:pt idx="4">
                        <c:v>5022.97</c:v>
                      </c:pt>
                      <c:pt idx="5">
                        <c:v>3673.8599999999969</c:v>
                      </c:pt>
                      <c:pt idx="6">
                        <c:v>8034.260000000002</c:v>
                      </c:pt>
                      <c:pt idx="7">
                        <c:v>9351.43</c:v>
                      </c:pt>
                      <c:pt idx="8">
                        <c:v>11308.559999999998</c:v>
                      </c:pt>
                      <c:pt idx="9">
                        <c:v>13795.959999999992</c:v>
                      </c:pt>
                      <c:pt idx="10">
                        <c:v>9656.8099999999977</c:v>
                      </c:pt>
                      <c:pt idx="11">
                        <c:v>15484.589999999997</c:v>
                      </c:pt>
                      <c:pt idx="12">
                        <c:v>16928.210000000006</c:v>
                      </c:pt>
                      <c:pt idx="13">
                        <c:v>17461.919999999998</c:v>
                      </c:pt>
                      <c:pt idx="14">
                        <c:v>14495.25</c:v>
                      </c:pt>
                      <c:pt idx="15">
                        <c:v>25829.5</c:v>
                      </c:pt>
                      <c:pt idx="16">
                        <c:v>29539.270000000004</c:v>
                      </c:pt>
                      <c:pt idx="17">
                        <c:v>9226.2900000000081</c:v>
                      </c:pt>
                      <c:pt idx="18">
                        <c:v>18140.190000000002</c:v>
                      </c:pt>
                      <c:pt idx="19">
                        <c:v>31059.72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046-4E87-B27E-22573E25AA2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DATA!$J$1</c15:sqref>
                        </c15:formulaRef>
                      </c:ext>
                    </c:extLst>
                    <c:strCache>
                      <c:ptCount val="1"/>
                      <c:pt idx="0">
                        <c:v>GSDP AT CURRENT PRICES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DATA!$J$2:$J$21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124389.42</c:v>
                      </c:pt>
                      <c:pt idx="1">
                        <c:v>142470.04</c:v>
                      </c:pt>
                      <c:pt idx="2">
                        <c:v>175141.08</c:v>
                      </c:pt>
                      <c:pt idx="3">
                        <c:v>201019.75</c:v>
                      </c:pt>
                      <c:pt idx="4">
                        <c:v>230315.55</c:v>
                      </c:pt>
                      <c:pt idx="5">
                        <c:v>276996.7</c:v>
                      </c:pt>
                      <c:pt idx="6">
                        <c:v>364047.88</c:v>
                      </c:pt>
                      <c:pt idx="7">
                        <c:v>412313</c:v>
                      </c:pt>
                      <c:pt idx="8">
                        <c:v>465041.21</c:v>
                      </c:pt>
                      <c:pt idx="9">
                        <c:v>512564.05</c:v>
                      </c:pt>
                      <c:pt idx="10">
                        <c:v>561993.61</c:v>
                      </c:pt>
                      <c:pt idx="11">
                        <c:v>634886.40000000002</c:v>
                      </c:pt>
                      <c:pt idx="12">
                        <c:v>701588.26</c:v>
                      </c:pt>
                      <c:pt idx="13">
                        <c:v>788285.58</c:v>
                      </c:pt>
                      <c:pt idx="14">
                        <c:v>812934.63</c:v>
                      </c:pt>
                      <c:pt idx="15">
                        <c:v>771723.89</c:v>
                      </c:pt>
                      <c:pt idx="16">
                        <c:v>924465.42</c:v>
                      </c:pt>
                      <c:pt idx="17">
                        <c:v>1038734.06</c:v>
                      </c:pt>
                      <c:pt idx="18">
                        <c:v>1135371.56</c:v>
                      </c:pt>
                      <c:pt idx="19">
                        <c:v>1248533.01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046-4E87-B27E-22573E25AA2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DATA!$K$1</c15:sqref>
                        </c15:formulaRef>
                      </c:ext>
                    </c:extLst>
                    <c:strCache>
                      <c:ptCount val="1"/>
                      <c:pt idx="0">
                        <c:v>REVENUE RECEIPT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DATA!$K$2:$K$21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12.29567595057522</c:v>
                      </c:pt>
                      <c:pt idx="1">
                        <c:v>12.765224183273899</c:v>
                      </c:pt>
                      <c:pt idx="2">
                        <c:v>12.051307437409889</c:v>
                      </c:pt>
                      <c:pt idx="3">
                        <c:v>12.193916269421289</c:v>
                      </c:pt>
                      <c:pt idx="4">
                        <c:v>11.336360050374369</c:v>
                      </c:pt>
                      <c:pt idx="5">
                        <c:v>11.188201881105444</c:v>
                      </c:pt>
                      <c:pt idx="6">
                        <c:v>10.441033195963124</c:v>
                      </c:pt>
                      <c:pt idx="7">
                        <c:v>10.704806785136533</c:v>
                      </c:pt>
                      <c:pt idx="8">
                        <c:v>10.57474884860204</c:v>
                      </c:pt>
                      <c:pt idx="9">
                        <c:v>11.305995806767955</c:v>
                      </c:pt>
                      <c:pt idx="10">
                        <c:v>12.283531124135024</c:v>
                      </c:pt>
                      <c:pt idx="11">
                        <c:v>11.909488059596175</c:v>
                      </c:pt>
                      <c:pt idx="12">
                        <c:v>11.833171210704124</c:v>
                      </c:pt>
                      <c:pt idx="13">
                        <c:v>11.779293235327229</c:v>
                      </c:pt>
                      <c:pt idx="14">
                        <c:v>11.098637783458678</c:v>
                      </c:pt>
                      <c:pt idx="15">
                        <c:v>12.649191150477407</c:v>
                      </c:pt>
                      <c:pt idx="16">
                        <c:v>12.617047374254408</c:v>
                      </c:pt>
                      <c:pt idx="17">
                        <c:v>12.77753903631503</c:v>
                      </c:pt>
                      <c:pt idx="18">
                        <c:v>10.964353378730042</c:v>
                      </c:pt>
                      <c:pt idx="19">
                        <c:v>10.000622250267938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046-4E87-B27E-22573E25AA2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DATA!$L$2:$L$21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14.811211435827904</c:v>
                      </c:pt>
                      <c:pt idx="1">
                        <c:v>14.616806452781228</c:v>
                      </c:pt>
                      <c:pt idx="2">
                        <c:v>14.212336705928729</c:v>
                      </c:pt>
                      <c:pt idx="3">
                        <c:v>14.040336832574907</c:v>
                      </c:pt>
                      <c:pt idx="4">
                        <c:v>13.5172722814417</c:v>
                      </c:pt>
                      <c:pt idx="5">
                        <c:v>12.514520931115786</c:v>
                      </c:pt>
                      <c:pt idx="6">
                        <c:v>12.64795718629099</c:v>
                      </c:pt>
                      <c:pt idx="7">
                        <c:v>12.972848297288712</c:v>
                      </c:pt>
                      <c:pt idx="8">
                        <c:v>13.006481726640956</c:v>
                      </c:pt>
                      <c:pt idx="9">
                        <c:v>13.997554061780178</c:v>
                      </c:pt>
                      <c:pt idx="10">
                        <c:v>14.00184425584483</c:v>
                      </c:pt>
                      <c:pt idx="11">
                        <c:v>14.348442493019222</c:v>
                      </c:pt>
                      <c:pt idx="12">
                        <c:v>14.246012326375018</c:v>
                      </c:pt>
                      <c:pt idx="13">
                        <c:v>13.994470125915534</c:v>
                      </c:pt>
                      <c:pt idx="14">
                        <c:v>12.881714732708582</c:v>
                      </c:pt>
                      <c:pt idx="15">
                        <c:v>15.99617837410735</c:v>
                      </c:pt>
                      <c:pt idx="16">
                        <c:v>15.812328599592185</c:v>
                      </c:pt>
                      <c:pt idx="17">
                        <c:v>13.665763496770289</c:v>
                      </c:pt>
                      <c:pt idx="18">
                        <c:v>12.562084961860414</c:v>
                      </c:pt>
                      <c:pt idx="19">
                        <c:v>12.488319391731581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046-4E87-B27E-22573E25AA2A}"/>
                  </c:ext>
                </c:extLst>
              </c15:ser>
            </c15:filteredLineSeries>
          </c:ext>
        </c:extLst>
      </c:lineChart>
      <c:catAx>
        <c:axId val="50726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5564858716347739"/>
              <c:y val="0.834128744040811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7254624"/>
        <c:crosses val="autoZero"/>
        <c:auto val="1"/>
        <c:lblAlgn val="ctr"/>
        <c:lblOffset val="100"/>
        <c:noMultiLvlLbl val="0"/>
      </c:catAx>
      <c:valAx>
        <c:axId val="5072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REVENUE DEFICIT RATIO</a:t>
                </a:r>
              </a:p>
            </c:rich>
          </c:tx>
          <c:layout>
            <c:manualLayout>
              <c:xMode val="edge"/>
              <c:yMode val="edge"/>
              <c:x val="1.2554114856456022E-2"/>
              <c:y val="0.176074102734110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726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b="1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Trend in Fiscal Deficit in Kerala (2005–2025)</a:t>
            </a:r>
            <a:endParaRPr lang="en-US" b="1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DATA!$I$1</c:f>
              <c:strCache>
                <c:ptCount val="1"/>
                <c:pt idx="0">
                  <c:v>FISCAL DEFICIT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DATA!$A$2:$A$21</c:f>
              <c:strCache>
                <c:ptCount val="20"/>
                <c:pt idx="0">
                  <c:v>2005-2006</c:v>
                </c:pt>
                <c:pt idx="1">
                  <c:v>2006-2007</c:v>
                </c:pt>
                <c:pt idx="2">
                  <c:v>2007-2008</c:v>
                </c:pt>
                <c:pt idx="3">
                  <c:v>2008-2009</c:v>
                </c:pt>
                <c:pt idx="4">
                  <c:v>2009-2010</c:v>
                </c:pt>
                <c:pt idx="5">
                  <c:v>2010-2011</c:v>
                </c:pt>
                <c:pt idx="6">
                  <c:v>2011-2012</c:v>
                </c:pt>
                <c:pt idx="7">
                  <c:v>2012-2013</c:v>
                </c:pt>
                <c:pt idx="8">
                  <c:v>2013-2014</c:v>
                </c:pt>
                <c:pt idx="9">
                  <c:v>2014-2015</c:v>
                </c:pt>
                <c:pt idx="10">
                  <c:v>2015-2016</c:v>
                </c:pt>
                <c:pt idx="11">
                  <c:v>2016-2017</c:v>
                </c:pt>
                <c:pt idx="12">
                  <c:v>2017-2018</c:v>
                </c:pt>
                <c:pt idx="13">
                  <c:v>2018-2019</c:v>
                </c:pt>
                <c:pt idx="14">
                  <c:v>2019-2020</c:v>
                </c:pt>
                <c:pt idx="15">
                  <c:v>2020-2021</c:v>
                </c:pt>
                <c:pt idx="16">
                  <c:v>2021-2022</c:v>
                </c:pt>
                <c:pt idx="17">
                  <c:v>2022-2023</c:v>
                </c:pt>
                <c:pt idx="18">
                  <c:v>2023-2024</c:v>
                </c:pt>
                <c:pt idx="19">
                  <c:v>2024-2025</c:v>
                </c:pt>
              </c:strCache>
            </c:strRef>
          </c:cat>
          <c:val>
            <c:numRef>
              <c:f>DATA!$I$2:$I$21</c:f>
              <c:numCache>
                <c:formatCode>0.00</c:formatCode>
                <c:ptCount val="20"/>
                <c:pt idx="0">
                  <c:v>4181.72</c:v>
                </c:pt>
                <c:pt idx="1">
                  <c:v>3821.87</c:v>
                </c:pt>
                <c:pt idx="2">
                  <c:v>6100.21</c:v>
                </c:pt>
                <c:pt idx="3">
                  <c:v>6346.21</c:v>
                </c:pt>
                <c:pt idx="4">
                  <c:v>7871.6</c:v>
                </c:pt>
                <c:pt idx="5">
                  <c:v>7730.46</c:v>
                </c:pt>
                <c:pt idx="6">
                  <c:v>12814.77</c:v>
                </c:pt>
                <c:pt idx="7">
                  <c:v>15002.47</c:v>
                </c:pt>
                <c:pt idx="8">
                  <c:v>16944.12</c:v>
                </c:pt>
                <c:pt idx="9">
                  <c:v>18641.73</c:v>
                </c:pt>
                <c:pt idx="10">
                  <c:v>17818.39</c:v>
                </c:pt>
                <c:pt idx="11">
                  <c:v>26448.35</c:v>
                </c:pt>
                <c:pt idx="12">
                  <c:v>26837.41</c:v>
                </c:pt>
                <c:pt idx="13">
                  <c:v>26958.3</c:v>
                </c:pt>
                <c:pt idx="14">
                  <c:v>23837.48</c:v>
                </c:pt>
                <c:pt idx="15">
                  <c:v>35203.69</c:v>
                </c:pt>
                <c:pt idx="16">
                  <c:v>37306.47</c:v>
                </c:pt>
                <c:pt idx="17">
                  <c:v>25554.54</c:v>
                </c:pt>
                <c:pt idx="18">
                  <c:v>34258.050000000003</c:v>
                </c:pt>
                <c:pt idx="19">
                  <c:v>48248.14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2C3-4843-A48B-69E31F61F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034832"/>
        <c:axId val="11950477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DATA!$B$1</c15:sqref>
                        </c15:formulaRef>
                      </c:ext>
                    </c:extLst>
                    <c:strCache>
                      <c:ptCount val="1"/>
                      <c:pt idx="0">
                        <c:v>OWN 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DATA!$B$2:$B$21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9779.64</c:v>
                      </c:pt>
                      <c:pt idx="1">
                        <c:v>11941.82</c:v>
                      </c:pt>
                      <c:pt idx="2">
                        <c:v>13668.95</c:v>
                      </c:pt>
                      <c:pt idx="3">
                        <c:v>15990.18</c:v>
                      </c:pt>
                      <c:pt idx="4">
                        <c:v>17625.02</c:v>
                      </c:pt>
                      <c:pt idx="5">
                        <c:v>21721.69</c:v>
                      </c:pt>
                      <c:pt idx="6" formatCode="0.0">
                        <c:v>25718.6</c:v>
                      </c:pt>
                      <c:pt idx="7">
                        <c:v>30076.61</c:v>
                      </c:pt>
                      <c:pt idx="8">
                        <c:v>31995.02</c:v>
                      </c:pt>
                      <c:pt idx="9" formatCode="0.0">
                        <c:v>35232.5</c:v>
                      </c:pt>
                      <c:pt idx="10">
                        <c:v>38995.15</c:v>
                      </c:pt>
                      <c:pt idx="11">
                        <c:v>42176.38</c:v>
                      </c:pt>
                      <c:pt idx="12">
                        <c:v>46459.61</c:v>
                      </c:pt>
                      <c:pt idx="13" formatCode="0.0">
                        <c:v>50644.1</c:v>
                      </c:pt>
                      <c:pt idx="14">
                        <c:v>50323.14</c:v>
                      </c:pt>
                      <c:pt idx="15">
                        <c:v>47660.84</c:v>
                      </c:pt>
                      <c:pt idx="16">
                        <c:v>58340.52</c:v>
                      </c:pt>
                      <c:pt idx="17">
                        <c:v>71968.160000000003</c:v>
                      </c:pt>
                      <c:pt idx="18">
                        <c:v>74329.009999999995</c:v>
                      </c:pt>
                      <c:pt idx="19" formatCode="General">
                        <c:v>76642.2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2C3-4843-A48B-69E31F61FEB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DATA!$C$1</c15:sqref>
                        </c15:formulaRef>
                      </c:ext>
                    </c:extLst>
                    <c:strCache>
                      <c:ptCount val="1"/>
                      <c:pt idx="0">
                        <c:v>OWN NON-TAX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DATA!$C$2:$C$21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936.77</c:v>
                      </c:pt>
                      <c:pt idx="1">
                        <c:v>937.57</c:v>
                      </c:pt>
                      <c:pt idx="2">
                        <c:v>1209.55</c:v>
                      </c:pt>
                      <c:pt idx="3">
                        <c:v>1559.29</c:v>
                      </c:pt>
                      <c:pt idx="4">
                        <c:v>1852.22</c:v>
                      </c:pt>
                      <c:pt idx="5">
                        <c:v>1930.79</c:v>
                      </c:pt>
                      <c:pt idx="6">
                        <c:v>2592.1799999999998</c:v>
                      </c:pt>
                      <c:pt idx="7">
                        <c:v>4198.5200000000004</c:v>
                      </c:pt>
                      <c:pt idx="8">
                        <c:v>5575.03</c:v>
                      </c:pt>
                      <c:pt idx="9">
                        <c:v>7283.69</c:v>
                      </c:pt>
                      <c:pt idx="10">
                        <c:v>8425.49</c:v>
                      </c:pt>
                      <c:pt idx="11">
                        <c:v>9699.98</c:v>
                      </c:pt>
                      <c:pt idx="12">
                        <c:v>11199.61</c:v>
                      </c:pt>
                      <c:pt idx="13">
                        <c:v>11783.24</c:v>
                      </c:pt>
                      <c:pt idx="14">
                        <c:v>12265.22</c:v>
                      </c:pt>
                      <c:pt idx="15">
                        <c:v>7327.31</c:v>
                      </c:pt>
                      <c:pt idx="16">
                        <c:v>10462.51</c:v>
                      </c:pt>
                      <c:pt idx="17">
                        <c:v>15117.96</c:v>
                      </c:pt>
                      <c:pt idx="18">
                        <c:v>16345.96</c:v>
                      </c:pt>
                      <c:pt idx="19" formatCode="General">
                        <c:v>16486.62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2C3-4843-A48B-69E31F61FEB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DATA!$D$1</c15:sqref>
                        </c15:formulaRef>
                      </c:ext>
                    </c:extLst>
                    <c:strCache>
                      <c:ptCount val="1"/>
                      <c:pt idx="0">
                        <c:v>REVENUE RECEIPT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DATA!$D$2:$D$21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15294.52</c:v>
                      </c:pt>
                      <c:pt idx="1">
                        <c:v>18186.62</c:v>
                      </c:pt>
                      <c:pt idx="2">
                        <c:v>21106.79</c:v>
                      </c:pt>
                      <c:pt idx="3">
                        <c:v>24512.18</c:v>
                      </c:pt>
                      <c:pt idx="4">
                        <c:v>26109.4</c:v>
                      </c:pt>
                      <c:pt idx="5">
                        <c:v>30990.95</c:v>
                      </c:pt>
                      <c:pt idx="6">
                        <c:v>38010.36</c:v>
                      </c:pt>
                      <c:pt idx="7">
                        <c:v>44137.31</c:v>
                      </c:pt>
                      <c:pt idx="8">
                        <c:v>49176.94</c:v>
                      </c:pt>
                      <c:pt idx="9">
                        <c:v>57950.47</c:v>
                      </c:pt>
                      <c:pt idx="10">
                        <c:v>69032.66</c:v>
                      </c:pt>
                      <c:pt idx="11">
                        <c:v>75611.72</c:v>
                      </c:pt>
                      <c:pt idx="12">
                        <c:v>83020.14</c:v>
                      </c:pt>
                      <c:pt idx="13">
                        <c:v>92854.47</c:v>
                      </c:pt>
                      <c:pt idx="14">
                        <c:v>90224.67</c:v>
                      </c:pt>
                      <c:pt idx="15">
                        <c:v>97616.83</c:v>
                      </c:pt>
                      <c:pt idx="16">
                        <c:v>116640.24</c:v>
                      </c:pt>
                      <c:pt idx="17">
                        <c:v>132724.65</c:v>
                      </c:pt>
                      <c:pt idx="18">
                        <c:v>124486.15</c:v>
                      </c:pt>
                      <c:pt idx="19" formatCode="General">
                        <c:v>124861.07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2C3-4843-A48B-69E31F61FEB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DATA!$E$2:$E$21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18423.580000000002</c:v>
                      </c:pt>
                      <c:pt idx="1">
                        <c:v>20824.57</c:v>
                      </c:pt>
                      <c:pt idx="2">
                        <c:v>24891.64</c:v>
                      </c:pt>
                      <c:pt idx="3">
                        <c:v>28223.85</c:v>
                      </c:pt>
                      <c:pt idx="4">
                        <c:v>31132.38</c:v>
                      </c:pt>
                      <c:pt idx="5">
                        <c:v>34664.81</c:v>
                      </c:pt>
                      <c:pt idx="6">
                        <c:v>46044.62</c:v>
                      </c:pt>
                      <c:pt idx="7">
                        <c:v>53488.74</c:v>
                      </c:pt>
                      <c:pt idx="8">
                        <c:v>60485.5</c:v>
                      </c:pt>
                      <c:pt idx="9">
                        <c:v>71746.429999999993</c:v>
                      </c:pt>
                      <c:pt idx="10">
                        <c:v>78689.47</c:v>
                      </c:pt>
                      <c:pt idx="11">
                        <c:v>91096.31</c:v>
                      </c:pt>
                      <c:pt idx="12">
                        <c:v>99948.35</c:v>
                      </c:pt>
                      <c:pt idx="13">
                        <c:v>110316.39</c:v>
                      </c:pt>
                      <c:pt idx="14">
                        <c:v>104719.92</c:v>
                      </c:pt>
                      <c:pt idx="15">
                        <c:v>123446.33</c:v>
                      </c:pt>
                      <c:pt idx="16">
                        <c:v>146179.51</c:v>
                      </c:pt>
                      <c:pt idx="17">
                        <c:v>141950.94</c:v>
                      </c:pt>
                      <c:pt idx="18">
                        <c:v>142626.34</c:v>
                      </c:pt>
                      <c:pt idx="19" formatCode="General">
                        <c:v>155920.79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2C3-4843-A48B-69E31F61FEB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DATA!$F$1</c15:sqref>
                        </c15:formulaRef>
                      </c:ext>
                    </c:extLst>
                    <c:strCache>
                      <c:ptCount val="1"/>
                      <c:pt idx="0">
                        <c:v>CAPITAL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DATA!$F$2:$F$21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1104.06</c:v>
                      </c:pt>
                      <c:pt idx="1">
                        <c:v>1251.97</c:v>
                      </c:pt>
                      <c:pt idx="2">
                        <c:v>2367.7399999999998</c:v>
                      </c:pt>
                      <c:pt idx="3">
                        <c:v>2679.29</c:v>
                      </c:pt>
                      <c:pt idx="4">
                        <c:v>2936.06</c:v>
                      </c:pt>
                      <c:pt idx="5">
                        <c:v>4125.43</c:v>
                      </c:pt>
                      <c:pt idx="6">
                        <c:v>4851.46</c:v>
                      </c:pt>
                      <c:pt idx="7">
                        <c:v>5739.44</c:v>
                      </c:pt>
                      <c:pt idx="8">
                        <c:v>5758.5</c:v>
                      </c:pt>
                      <c:pt idx="9">
                        <c:v>4997.68</c:v>
                      </c:pt>
                      <c:pt idx="10">
                        <c:v>8342.2900000000009</c:v>
                      </c:pt>
                      <c:pt idx="11">
                        <c:v>11286.25</c:v>
                      </c:pt>
                      <c:pt idx="12">
                        <c:v>10289.459999999999</c:v>
                      </c:pt>
                      <c:pt idx="13">
                        <c:v>9753.43</c:v>
                      </c:pt>
                      <c:pt idx="14">
                        <c:v>9665.02</c:v>
                      </c:pt>
                      <c:pt idx="15">
                        <c:v>15438.16</c:v>
                      </c:pt>
                      <c:pt idx="16">
                        <c:v>17046.02</c:v>
                      </c:pt>
                      <c:pt idx="17">
                        <c:v>16787.490000000002</c:v>
                      </c:pt>
                      <c:pt idx="18">
                        <c:v>16880.169999999998</c:v>
                      </c:pt>
                      <c:pt idx="19" formatCode="General">
                        <c:v>17886.77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2C3-4843-A48B-69E31F61FEB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DATA!$G$1</c15:sqref>
                        </c15:formulaRef>
                      </c:ext>
                    </c:extLst>
                    <c:strCache>
                      <c:ptCount val="1"/>
                      <c:pt idx="0">
                        <c:v>TOTAL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DATA!$G$2:$G$21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19527.640000000003</c:v>
                      </c:pt>
                      <c:pt idx="1">
                        <c:v>22076.54</c:v>
                      </c:pt>
                      <c:pt idx="2">
                        <c:v>27259.379999999997</c:v>
                      </c:pt>
                      <c:pt idx="3">
                        <c:v>30903.14</c:v>
                      </c:pt>
                      <c:pt idx="4">
                        <c:v>34068.44</c:v>
                      </c:pt>
                      <c:pt idx="5">
                        <c:v>38790.239999999998</c:v>
                      </c:pt>
                      <c:pt idx="6">
                        <c:v>50896.08</c:v>
                      </c:pt>
                      <c:pt idx="7">
                        <c:v>59228.18</c:v>
                      </c:pt>
                      <c:pt idx="8">
                        <c:v>66244</c:v>
                      </c:pt>
                      <c:pt idx="9">
                        <c:v>76744.109999999986</c:v>
                      </c:pt>
                      <c:pt idx="10">
                        <c:v>87031.760000000009</c:v>
                      </c:pt>
                      <c:pt idx="11">
                        <c:v>102382.56</c:v>
                      </c:pt>
                      <c:pt idx="12">
                        <c:v>110237.81</c:v>
                      </c:pt>
                      <c:pt idx="13">
                        <c:v>120069.82</c:v>
                      </c:pt>
                      <c:pt idx="14">
                        <c:v>114384.94</c:v>
                      </c:pt>
                      <c:pt idx="15">
                        <c:v>138884.49</c:v>
                      </c:pt>
                      <c:pt idx="16">
                        <c:v>163225.53</c:v>
                      </c:pt>
                      <c:pt idx="17">
                        <c:v>158738.43</c:v>
                      </c:pt>
                      <c:pt idx="18">
                        <c:v>159506.51</c:v>
                      </c:pt>
                      <c:pt idx="19">
                        <c:v>173807.56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2C3-4843-A48B-69E31F61FEB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DATA!$H$1</c15:sqref>
                        </c15:formulaRef>
                      </c:ext>
                    </c:extLst>
                    <c:strCache>
                      <c:ptCount val="1"/>
                      <c:pt idx="0">
                        <c:v>REVENUE DEFICIT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DATA!$H$2:$H$21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3129.15</c:v>
                      </c:pt>
                      <c:pt idx="1">
                        <c:v>2637.95</c:v>
                      </c:pt>
                      <c:pt idx="2">
                        <c:v>3784.84</c:v>
                      </c:pt>
                      <c:pt idx="3">
                        <c:v>3711.67</c:v>
                      </c:pt>
                      <c:pt idx="4">
                        <c:v>5022.97</c:v>
                      </c:pt>
                      <c:pt idx="5">
                        <c:v>3673.8599999999969</c:v>
                      </c:pt>
                      <c:pt idx="6">
                        <c:v>8034.260000000002</c:v>
                      </c:pt>
                      <c:pt idx="7">
                        <c:v>9351.43</c:v>
                      </c:pt>
                      <c:pt idx="8">
                        <c:v>11308.559999999998</c:v>
                      </c:pt>
                      <c:pt idx="9">
                        <c:v>13795.959999999992</c:v>
                      </c:pt>
                      <c:pt idx="10">
                        <c:v>9656.8099999999977</c:v>
                      </c:pt>
                      <c:pt idx="11">
                        <c:v>15484.589999999997</c:v>
                      </c:pt>
                      <c:pt idx="12">
                        <c:v>16928.210000000006</c:v>
                      </c:pt>
                      <c:pt idx="13">
                        <c:v>17461.919999999998</c:v>
                      </c:pt>
                      <c:pt idx="14">
                        <c:v>14495.25</c:v>
                      </c:pt>
                      <c:pt idx="15">
                        <c:v>25829.5</c:v>
                      </c:pt>
                      <c:pt idx="16">
                        <c:v>29539.270000000004</c:v>
                      </c:pt>
                      <c:pt idx="17">
                        <c:v>9226.2900000000081</c:v>
                      </c:pt>
                      <c:pt idx="18">
                        <c:v>18140.190000000002</c:v>
                      </c:pt>
                      <c:pt idx="19">
                        <c:v>31059.72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2C3-4843-A48B-69E31F61FEB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DATA!$J$1</c15:sqref>
                        </c15:formulaRef>
                      </c:ext>
                    </c:extLst>
                    <c:strCache>
                      <c:ptCount val="1"/>
                      <c:pt idx="0">
                        <c:v>GSDP AT CURRENT PRICES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DATA!$J$2:$J$21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124389.42</c:v>
                      </c:pt>
                      <c:pt idx="1">
                        <c:v>142470.04</c:v>
                      </c:pt>
                      <c:pt idx="2">
                        <c:v>175141.08</c:v>
                      </c:pt>
                      <c:pt idx="3">
                        <c:v>201019.75</c:v>
                      </c:pt>
                      <c:pt idx="4">
                        <c:v>230315.55</c:v>
                      </c:pt>
                      <c:pt idx="5">
                        <c:v>276996.7</c:v>
                      </c:pt>
                      <c:pt idx="6">
                        <c:v>364047.88</c:v>
                      </c:pt>
                      <c:pt idx="7">
                        <c:v>412313</c:v>
                      </c:pt>
                      <c:pt idx="8">
                        <c:v>465041.21</c:v>
                      </c:pt>
                      <c:pt idx="9">
                        <c:v>512564.05</c:v>
                      </c:pt>
                      <c:pt idx="10">
                        <c:v>561993.61</c:v>
                      </c:pt>
                      <c:pt idx="11">
                        <c:v>634886.40000000002</c:v>
                      </c:pt>
                      <c:pt idx="12">
                        <c:v>701588.26</c:v>
                      </c:pt>
                      <c:pt idx="13">
                        <c:v>788285.58</c:v>
                      </c:pt>
                      <c:pt idx="14">
                        <c:v>812934.63</c:v>
                      </c:pt>
                      <c:pt idx="15">
                        <c:v>771723.89</c:v>
                      </c:pt>
                      <c:pt idx="16">
                        <c:v>924465.42</c:v>
                      </c:pt>
                      <c:pt idx="17">
                        <c:v>1038734.06</c:v>
                      </c:pt>
                      <c:pt idx="18">
                        <c:v>1135371.56</c:v>
                      </c:pt>
                      <c:pt idx="19">
                        <c:v>1248533.01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2C3-4843-A48B-69E31F61FEB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DATA!$K$1</c15:sqref>
                        </c15:formulaRef>
                      </c:ext>
                    </c:extLst>
                    <c:strCache>
                      <c:ptCount val="1"/>
                      <c:pt idx="0">
                        <c:v>REVENUE RECEIPT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DATA!$K$2:$K$21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12.29567595057522</c:v>
                      </c:pt>
                      <c:pt idx="1">
                        <c:v>12.765224183273899</c:v>
                      </c:pt>
                      <c:pt idx="2">
                        <c:v>12.051307437409889</c:v>
                      </c:pt>
                      <c:pt idx="3">
                        <c:v>12.193916269421289</c:v>
                      </c:pt>
                      <c:pt idx="4">
                        <c:v>11.336360050374369</c:v>
                      </c:pt>
                      <c:pt idx="5">
                        <c:v>11.188201881105444</c:v>
                      </c:pt>
                      <c:pt idx="6">
                        <c:v>10.441033195963124</c:v>
                      </c:pt>
                      <c:pt idx="7">
                        <c:v>10.704806785136533</c:v>
                      </c:pt>
                      <c:pt idx="8">
                        <c:v>10.57474884860204</c:v>
                      </c:pt>
                      <c:pt idx="9">
                        <c:v>11.305995806767955</c:v>
                      </c:pt>
                      <c:pt idx="10">
                        <c:v>12.283531124135024</c:v>
                      </c:pt>
                      <c:pt idx="11">
                        <c:v>11.909488059596175</c:v>
                      </c:pt>
                      <c:pt idx="12">
                        <c:v>11.833171210704124</c:v>
                      </c:pt>
                      <c:pt idx="13">
                        <c:v>11.779293235327229</c:v>
                      </c:pt>
                      <c:pt idx="14">
                        <c:v>11.098637783458678</c:v>
                      </c:pt>
                      <c:pt idx="15">
                        <c:v>12.649191150477407</c:v>
                      </c:pt>
                      <c:pt idx="16">
                        <c:v>12.617047374254408</c:v>
                      </c:pt>
                      <c:pt idx="17">
                        <c:v>12.77753903631503</c:v>
                      </c:pt>
                      <c:pt idx="18">
                        <c:v>10.964353378730042</c:v>
                      </c:pt>
                      <c:pt idx="19">
                        <c:v>10.000622250267938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2C3-4843-A48B-69E31F61FEB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DATA!$L$2:$L$21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14.811211435827904</c:v>
                      </c:pt>
                      <c:pt idx="1">
                        <c:v>14.616806452781228</c:v>
                      </c:pt>
                      <c:pt idx="2">
                        <c:v>14.212336705928729</c:v>
                      </c:pt>
                      <c:pt idx="3">
                        <c:v>14.040336832574907</c:v>
                      </c:pt>
                      <c:pt idx="4">
                        <c:v>13.5172722814417</c:v>
                      </c:pt>
                      <c:pt idx="5">
                        <c:v>12.514520931115786</c:v>
                      </c:pt>
                      <c:pt idx="6">
                        <c:v>12.64795718629099</c:v>
                      </c:pt>
                      <c:pt idx="7">
                        <c:v>12.972848297288712</c:v>
                      </c:pt>
                      <c:pt idx="8">
                        <c:v>13.006481726640956</c:v>
                      </c:pt>
                      <c:pt idx="9">
                        <c:v>13.997554061780178</c:v>
                      </c:pt>
                      <c:pt idx="10">
                        <c:v>14.00184425584483</c:v>
                      </c:pt>
                      <c:pt idx="11">
                        <c:v>14.348442493019222</c:v>
                      </c:pt>
                      <c:pt idx="12">
                        <c:v>14.246012326375018</c:v>
                      </c:pt>
                      <c:pt idx="13">
                        <c:v>13.994470125915534</c:v>
                      </c:pt>
                      <c:pt idx="14">
                        <c:v>12.881714732708582</c:v>
                      </c:pt>
                      <c:pt idx="15">
                        <c:v>15.99617837410735</c:v>
                      </c:pt>
                      <c:pt idx="16">
                        <c:v>15.812328599592185</c:v>
                      </c:pt>
                      <c:pt idx="17">
                        <c:v>13.665763496770289</c:v>
                      </c:pt>
                      <c:pt idx="18">
                        <c:v>12.562084961860414</c:v>
                      </c:pt>
                      <c:pt idx="19">
                        <c:v>12.488319391731581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2C3-4843-A48B-69E31F61FEB0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DATA!$M$1</c15:sqref>
                        </c15:formulaRef>
                      </c:ext>
                    </c:extLst>
                    <c:strCache>
                      <c:ptCount val="1"/>
                      <c:pt idx="0">
                        <c:v>CAPITAL EXPENDITURE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DATA!$M$2:$M$21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0.88758352599441326</c:v>
                      </c:pt>
                      <c:pt idx="1">
                        <c:v>0.87876019407308359</c:v>
                      </c:pt>
                      <c:pt idx="2">
                        <c:v>1.3519044189975304</c:v>
                      </c:pt>
                      <c:pt idx="3">
                        <c:v>1.3328491354705196</c:v>
                      </c:pt>
                      <c:pt idx="4">
                        <c:v>1.2747988574805307</c:v>
                      </c:pt>
                      <c:pt idx="5">
                        <c:v>1.4893426528186076</c:v>
                      </c:pt>
                      <c:pt idx="6">
                        <c:v>1.3326433874577157</c:v>
                      </c:pt>
                      <c:pt idx="7">
                        <c:v>1.3920104386715917</c:v>
                      </c:pt>
                      <c:pt idx="8">
                        <c:v>1.2382773561078597</c:v>
                      </c:pt>
                      <c:pt idx="9">
                        <c:v>0.97503521754988487</c:v>
                      </c:pt>
                      <c:pt idx="10">
                        <c:v>1.4844101163356647</c:v>
                      </c:pt>
                      <c:pt idx="11">
                        <c:v>1.7776802275178676</c:v>
                      </c:pt>
                      <c:pt idx="12">
                        <c:v>1.4665952363570049</c:v>
                      </c:pt>
                      <c:pt idx="13">
                        <c:v>1.2372965137837484</c:v>
                      </c:pt>
                      <c:pt idx="14">
                        <c:v>1.1889049430702687</c:v>
                      </c:pt>
                      <c:pt idx="15">
                        <c:v>2.0004771395634777</c:v>
                      </c:pt>
                      <c:pt idx="16">
                        <c:v>1.8438785952642773</c:v>
                      </c:pt>
                      <c:pt idx="17">
                        <c:v>1.6161489881250262</c:v>
                      </c:pt>
                      <c:pt idx="18">
                        <c:v>1.4867529357525915</c:v>
                      </c:pt>
                      <c:pt idx="19">
                        <c:v>1.4326229147918164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2C3-4843-A48B-69E31F61FEB0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DATA!$N$1</c15:sqref>
                        </c15:formulaRef>
                      </c:ext>
                    </c:extLst>
                    <c:strCache>
                      <c:ptCount val="1"/>
                      <c:pt idx="0">
                        <c:v>TOTAL EXPENDITURE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DATA!$N$2:$N$21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15.698794961822319</c:v>
                      </c:pt>
                      <c:pt idx="1">
                        <c:v>15.495566646854314</c:v>
                      </c:pt>
                      <c:pt idx="2">
                        <c:v>15.564241124926259</c:v>
                      </c:pt>
                      <c:pt idx="3">
                        <c:v>15.373185968045428</c:v>
                      </c:pt>
                      <c:pt idx="4">
                        <c:v>14.792071138922234</c:v>
                      </c:pt>
                      <c:pt idx="5">
                        <c:v>14.003863583934391</c:v>
                      </c:pt>
                      <c:pt idx="6">
                        <c:v>13.980600573748706</c:v>
                      </c:pt>
                      <c:pt idx="7">
                        <c:v>14.364858735960301</c:v>
                      </c:pt>
                      <c:pt idx="8">
                        <c:v>14.244759082748818</c:v>
                      </c:pt>
                      <c:pt idx="9">
                        <c:v>14.972589279330064</c:v>
                      </c:pt>
                      <c:pt idx="10">
                        <c:v>15.486254372180497</c:v>
                      </c:pt>
                      <c:pt idx="11">
                        <c:v>16.12612272053709</c:v>
                      </c:pt>
                      <c:pt idx="12">
                        <c:v>15.712607562732019</c:v>
                      </c:pt>
                      <c:pt idx="13">
                        <c:v>15.231766639699284</c:v>
                      </c:pt>
                      <c:pt idx="14">
                        <c:v>14.07061967577885</c:v>
                      </c:pt>
                      <c:pt idx="15">
                        <c:v>17.996655513670827</c:v>
                      </c:pt>
                      <c:pt idx="16">
                        <c:v>17.65620719485646</c:v>
                      </c:pt>
                      <c:pt idx="17">
                        <c:v>15.281912484895313</c:v>
                      </c:pt>
                      <c:pt idx="18">
                        <c:v>14.048837897613007</c:v>
                      </c:pt>
                      <c:pt idx="19">
                        <c:v>13.920942306523399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2C3-4843-A48B-69E31F61FEB0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DATA!$O$1</c15:sqref>
                        </c15:formulaRef>
                      </c:ext>
                    </c:extLst>
                    <c:strCache>
                      <c:ptCount val="1"/>
                      <c:pt idx="0">
                        <c:v>REVENUE DEFICIT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DATA!$O$2:$O$21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2.515607838673096</c:v>
                      </c:pt>
                      <c:pt idx="1">
                        <c:v>1.8515822695073292</c:v>
                      </c:pt>
                      <c:pt idx="2">
                        <c:v>2.1610235588361113</c:v>
                      </c:pt>
                      <c:pt idx="3">
                        <c:v>1.8464205631536206</c:v>
                      </c:pt>
                      <c:pt idx="4">
                        <c:v>2.1809078891981026</c:v>
                      </c:pt>
                      <c:pt idx="5">
                        <c:v>1.3263190500103419</c:v>
                      </c:pt>
                      <c:pt idx="6">
                        <c:v>2.2069239903278661</c:v>
                      </c:pt>
                      <c:pt idx="7">
                        <c:v>2.2680415121521755</c:v>
                      </c:pt>
                      <c:pt idx="8">
                        <c:v>2.4317328780389156</c:v>
                      </c:pt>
                      <c:pt idx="9">
                        <c:v>2.6915582550122257</c:v>
                      </c:pt>
                      <c:pt idx="10">
                        <c:v>1.7183131317098068</c:v>
                      </c:pt>
                      <c:pt idx="11">
                        <c:v>2.4389544334230497</c:v>
                      </c:pt>
                      <c:pt idx="12">
                        <c:v>2.4128411156708931</c:v>
                      </c:pt>
                      <c:pt idx="13">
                        <c:v>2.2151768905883067</c:v>
                      </c:pt>
                      <c:pt idx="14">
                        <c:v>1.7830769492499046</c:v>
                      </c:pt>
                      <c:pt idx="15">
                        <c:v>3.3469872236299434</c:v>
                      </c:pt>
                      <c:pt idx="16">
                        <c:v>3.1952812253377747</c:v>
                      </c:pt>
                      <c:pt idx="17">
                        <c:v>0.88822446045525916</c:v>
                      </c:pt>
                      <c:pt idx="18">
                        <c:v>1.597731583130372</c:v>
                      </c:pt>
                      <c:pt idx="19">
                        <c:v>2.4876971414636446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2C3-4843-A48B-69E31F61FEB0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DATA!$P$1</c15:sqref>
                        </c15:formulaRef>
                      </c:ext>
                    </c:extLst>
                    <c:strCache>
                      <c:ptCount val="1"/>
                      <c:pt idx="0">
                        <c:v>FISCAL DEFICIT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DATA!$P$2:$P$21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3.3617971689232093</c:v>
                      </c:pt>
                      <c:pt idx="1">
                        <c:v>2.6825780353539592</c:v>
                      </c:pt>
                      <c:pt idx="2">
                        <c:v>3.4830263693703385</c:v>
                      </c:pt>
                      <c:pt idx="3">
                        <c:v>3.1570082044177252</c:v>
                      </c:pt>
                      <c:pt idx="4">
                        <c:v>3.4177457839907035</c:v>
                      </c:pt>
                      <c:pt idx="5">
                        <c:v>2.7908130313465827</c:v>
                      </c:pt>
                      <c:pt idx="6">
                        <c:v>3.5200781831225063</c:v>
                      </c:pt>
                      <c:pt idx="7">
                        <c:v>3.6386119283165943</c:v>
                      </c:pt>
                      <c:pt idx="8">
                        <c:v>3.6435738673568299</c:v>
                      </c:pt>
                      <c:pt idx="9">
                        <c:v>3.6369562008884548</c:v>
                      </c:pt>
                      <c:pt idx="10">
                        <c:v>3.1705680781672942</c:v>
                      </c:pt>
                      <c:pt idx="11">
                        <c:v>4.1658397470791622</c:v>
                      </c:pt>
                      <c:pt idx="12">
                        <c:v>3.8252364713172367</c:v>
                      </c:pt>
                      <c:pt idx="13">
                        <c:v>3.4198646637681742</c:v>
                      </c:pt>
                      <c:pt idx="14">
                        <c:v>2.9322751326265926</c:v>
                      </c:pt>
                      <c:pt idx="15">
                        <c:v>4.5616949865320358</c:v>
                      </c:pt>
                      <c:pt idx="16">
                        <c:v>4.0354640847464038</c:v>
                      </c:pt>
                      <c:pt idx="17">
                        <c:v>2.4601619398135455</c:v>
                      </c:pt>
                      <c:pt idx="18">
                        <c:v>3.0173426221808834</c:v>
                      </c:pt>
                      <c:pt idx="19">
                        <c:v>3.8643864129791807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2C3-4843-A48B-69E31F61FEB0}"/>
                  </c:ext>
                </c:extLst>
              </c15:ser>
            </c15:filteredLineSeries>
          </c:ext>
        </c:extLst>
      </c:lineChart>
      <c:catAx>
        <c:axId val="1195034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574890024170804"/>
              <c:y val="0.841934492797457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5047792"/>
        <c:crosses val="autoZero"/>
        <c:auto val="1"/>
        <c:lblAlgn val="ctr"/>
        <c:lblOffset val="100"/>
        <c:noMultiLvlLbl val="0"/>
      </c:catAx>
      <c:valAx>
        <c:axId val="119504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AMOUNT (₹ Crore)</a:t>
                </a:r>
              </a:p>
            </c:rich>
          </c:tx>
          <c:layout>
            <c:manualLayout>
              <c:xMode val="edge"/>
              <c:yMode val="edge"/>
              <c:x val="1.5392138784455334E-2"/>
              <c:y val="0.233820174091084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IN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503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Trend</a:t>
            </a:r>
            <a:r>
              <a:rPr lang="en-US" sz="1400" b="1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 Fiscal Deficit Ratio </a:t>
            </a:r>
            <a:r>
              <a:rPr lang="en-US" sz="1400" b="1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(% OF GSDP) in Kerala</a:t>
            </a:r>
            <a:r>
              <a:rPr lang="en-US" sz="1400" b="1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(2005-2025)</a:t>
            </a:r>
            <a:endParaRPr lang="en-US" sz="1400" b="1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4"/>
          <c:order val="14"/>
          <c:tx>
            <c:strRef>
              <c:f>DATA!$P$1</c:f>
              <c:strCache>
                <c:ptCount val="1"/>
                <c:pt idx="0">
                  <c:v>FISCAL DEFICIT RATIO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strRef>
              <c:f>DATA!$A$2:$A$21</c:f>
              <c:strCache>
                <c:ptCount val="20"/>
                <c:pt idx="0">
                  <c:v>2005-2006</c:v>
                </c:pt>
                <c:pt idx="1">
                  <c:v>2006-2007</c:v>
                </c:pt>
                <c:pt idx="2">
                  <c:v>2007-2008</c:v>
                </c:pt>
                <c:pt idx="3">
                  <c:v>2008-2009</c:v>
                </c:pt>
                <c:pt idx="4">
                  <c:v>2009-2010</c:v>
                </c:pt>
                <c:pt idx="5">
                  <c:v>2010-2011</c:v>
                </c:pt>
                <c:pt idx="6">
                  <c:v>2011-2012</c:v>
                </c:pt>
                <c:pt idx="7">
                  <c:v>2012-2013</c:v>
                </c:pt>
                <c:pt idx="8">
                  <c:v>2013-2014</c:v>
                </c:pt>
                <c:pt idx="9">
                  <c:v>2014-2015</c:v>
                </c:pt>
                <c:pt idx="10">
                  <c:v>2015-2016</c:v>
                </c:pt>
                <c:pt idx="11">
                  <c:v>2016-2017</c:v>
                </c:pt>
                <c:pt idx="12">
                  <c:v>2017-2018</c:v>
                </c:pt>
                <c:pt idx="13">
                  <c:v>2018-2019</c:v>
                </c:pt>
                <c:pt idx="14">
                  <c:v>2019-2020</c:v>
                </c:pt>
                <c:pt idx="15">
                  <c:v>2020-2021</c:v>
                </c:pt>
                <c:pt idx="16">
                  <c:v>2021-2022</c:v>
                </c:pt>
                <c:pt idx="17">
                  <c:v>2022-2023</c:v>
                </c:pt>
                <c:pt idx="18">
                  <c:v>2023-2024</c:v>
                </c:pt>
                <c:pt idx="19">
                  <c:v>2024-2025</c:v>
                </c:pt>
              </c:strCache>
            </c:strRef>
          </c:cat>
          <c:val>
            <c:numRef>
              <c:f>DATA!$P$2:$P$21</c:f>
              <c:numCache>
                <c:formatCode>0.00</c:formatCode>
                <c:ptCount val="20"/>
                <c:pt idx="0">
                  <c:v>3.3617971689232093</c:v>
                </c:pt>
                <c:pt idx="1">
                  <c:v>2.6825780353539592</c:v>
                </c:pt>
                <c:pt idx="2">
                  <c:v>3.4830263693703385</c:v>
                </c:pt>
                <c:pt idx="3">
                  <c:v>3.1570082044177252</c:v>
                </c:pt>
                <c:pt idx="4">
                  <c:v>3.4177457839907035</c:v>
                </c:pt>
                <c:pt idx="5">
                  <c:v>2.7908130313465827</c:v>
                </c:pt>
                <c:pt idx="6">
                  <c:v>3.5200781831225063</c:v>
                </c:pt>
                <c:pt idx="7">
                  <c:v>3.6386119283165943</c:v>
                </c:pt>
                <c:pt idx="8">
                  <c:v>3.6435738673568299</c:v>
                </c:pt>
                <c:pt idx="9">
                  <c:v>3.6369562008884548</c:v>
                </c:pt>
                <c:pt idx="10">
                  <c:v>3.1705680781672942</c:v>
                </c:pt>
                <c:pt idx="11">
                  <c:v>4.1658397470791622</c:v>
                </c:pt>
                <c:pt idx="12">
                  <c:v>3.8252364713172367</c:v>
                </c:pt>
                <c:pt idx="13">
                  <c:v>3.4198646637681742</c:v>
                </c:pt>
                <c:pt idx="14">
                  <c:v>2.9322751326265926</c:v>
                </c:pt>
                <c:pt idx="15">
                  <c:v>4.5616949865320358</c:v>
                </c:pt>
                <c:pt idx="16">
                  <c:v>4.0354640847464038</c:v>
                </c:pt>
                <c:pt idx="17">
                  <c:v>2.4601619398135455</c:v>
                </c:pt>
                <c:pt idx="18">
                  <c:v>3.0173426221808834</c:v>
                </c:pt>
                <c:pt idx="19">
                  <c:v>3.8643864129791807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2C-4F02-A1C1-31C69D683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261344"/>
        <c:axId val="5072546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DATA!$B$1</c15:sqref>
                        </c15:formulaRef>
                      </c:ext>
                    </c:extLst>
                    <c:strCache>
                      <c:ptCount val="1"/>
                      <c:pt idx="0">
                        <c:v>OWN 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dk1">
                        <a:tint val="885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DATA!$B$2:$B$21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9779.64</c:v>
                      </c:pt>
                      <c:pt idx="1">
                        <c:v>11941.82</c:v>
                      </c:pt>
                      <c:pt idx="2">
                        <c:v>13668.95</c:v>
                      </c:pt>
                      <c:pt idx="3">
                        <c:v>15990.18</c:v>
                      </c:pt>
                      <c:pt idx="4">
                        <c:v>17625.02</c:v>
                      </c:pt>
                      <c:pt idx="5">
                        <c:v>21721.69</c:v>
                      </c:pt>
                      <c:pt idx="6" formatCode="0.0">
                        <c:v>25718.6</c:v>
                      </c:pt>
                      <c:pt idx="7">
                        <c:v>30076.61</c:v>
                      </c:pt>
                      <c:pt idx="8">
                        <c:v>31995.02</c:v>
                      </c:pt>
                      <c:pt idx="9" formatCode="0.0">
                        <c:v>35232.5</c:v>
                      </c:pt>
                      <c:pt idx="10">
                        <c:v>38995.15</c:v>
                      </c:pt>
                      <c:pt idx="11">
                        <c:v>42176.38</c:v>
                      </c:pt>
                      <c:pt idx="12">
                        <c:v>46459.61</c:v>
                      </c:pt>
                      <c:pt idx="13" formatCode="0.0">
                        <c:v>50644.1</c:v>
                      </c:pt>
                      <c:pt idx="14">
                        <c:v>50323.14</c:v>
                      </c:pt>
                      <c:pt idx="15">
                        <c:v>47660.84</c:v>
                      </c:pt>
                      <c:pt idx="16">
                        <c:v>58340.52</c:v>
                      </c:pt>
                      <c:pt idx="17">
                        <c:v>71968.160000000003</c:v>
                      </c:pt>
                      <c:pt idx="18">
                        <c:v>74329.009999999995</c:v>
                      </c:pt>
                      <c:pt idx="19" formatCode="General">
                        <c:v>76642.2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62C-4F02-A1C1-31C69D68307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DATA!$C$1</c15:sqref>
                        </c15:formulaRef>
                      </c:ext>
                    </c:extLst>
                    <c:strCache>
                      <c:ptCount val="1"/>
                      <c:pt idx="0">
                        <c:v>OWN NON-TAX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dk1">
                        <a:tint val="5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DATA!$C$2:$C$21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936.77</c:v>
                      </c:pt>
                      <c:pt idx="1">
                        <c:v>937.57</c:v>
                      </c:pt>
                      <c:pt idx="2">
                        <c:v>1209.55</c:v>
                      </c:pt>
                      <c:pt idx="3">
                        <c:v>1559.29</c:v>
                      </c:pt>
                      <c:pt idx="4">
                        <c:v>1852.22</c:v>
                      </c:pt>
                      <c:pt idx="5">
                        <c:v>1930.79</c:v>
                      </c:pt>
                      <c:pt idx="6">
                        <c:v>2592.1799999999998</c:v>
                      </c:pt>
                      <c:pt idx="7">
                        <c:v>4198.5200000000004</c:v>
                      </c:pt>
                      <c:pt idx="8">
                        <c:v>5575.03</c:v>
                      </c:pt>
                      <c:pt idx="9">
                        <c:v>7283.69</c:v>
                      </c:pt>
                      <c:pt idx="10">
                        <c:v>8425.49</c:v>
                      </c:pt>
                      <c:pt idx="11">
                        <c:v>9699.98</c:v>
                      </c:pt>
                      <c:pt idx="12">
                        <c:v>11199.61</c:v>
                      </c:pt>
                      <c:pt idx="13">
                        <c:v>11783.24</c:v>
                      </c:pt>
                      <c:pt idx="14">
                        <c:v>12265.22</c:v>
                      </c:pt>
                      <c:pt idx="15">
                        <c:v>7327.31</c:v>
                      </c:pt>
                      <c:pt idx="16">
                        <c:v>10462.51</c:v>
                      </c:pt>
                      <c:pt idx="17">
                        <c:v>15117.96</c:v>
                      </c:pt>
                      <c:pt idx="18">
                        <c:v>16345.96</c:v>
                      </c:pt>
                      <c:pt idx="19" formatCode="General">
                        <c:v>16486.62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62C-4F02-A1C1-31C69D68307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DATA!$D$1</c15:sqref>
                        </c15:formulaRef>
                      </c:ext>
                    </c:extLst>
                    <c:strCache>
                      <c:ptCount val="1"/>
                      <c:pt idx="0">
                        <c:v>REVENUE RECEIPT</c:v>
                      </c:pt>
                    </c:strCache>
                  </c:strRef>
                </c:tx>
                <c:spPr>
                  <a:ln w="28575" cap="rnd">
                    <a:solidFill>
                      <a:schemeClr val="dk1">
                        <a:tint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DATA!$D$2:$D$21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15294.52</c:v>
                      </c:pt>
                      <c:pt idx="1">
                        <c:v>18186.62</c:v>
                      </c:pt>
                      <c:pt idx="2">
                        <c:v>21106.79</c:v>
                      </c:pt>
                      <c:pt idx="3">
                        <c:v>24512.18</c:v>
                      </c:pt>
                      <c:pt idx="4">
                        <c:v>26109.4</c:v>
                      </c:pt>
                      <c:pt idx="5">
                        <c:v>30990.95</c:v>
                      </c:pt>
                      <c:pt idx="6">
                        <c:v>38010.36</c:v>
                      </c:pt>
                      <c:pt idx="7">
                        <c:v>44137.31</c:v>
                      </c:pt>
                      <c:pt idx="8">
                        <c:v>49176.94</c:v>
                      </c:pt>
                      <c:pt idx="9">
                        <c:v>57950.47</c:v>
                      </c:pt>
                      <c:pt idx="10">
                        <c:v>69032.66</c:v>
                      </c:pt>
                      <c:pt idx="11">
                        <c:v>75611.72</c:v>
                      </c:pt>
                      <c:pt idx="12">
                        <c:v>83020.14</c:v>
                      </c:pt>
                      <c:pt idx="13">
                        <c:v>92854.47</c:v>
                      </c:pt>
                      <c:pt idx="14">
                        <c:v>90224.67</c:v>
                      </c:pt>
                      <c:pt idx="15">
                        <c:v>97616.83</c:v>
                      </c:pt>
                      <c:pt idx="16">
                        <c:v>116640.24</c:v>
                      </c:pt>
                      <c:pt idx="17">
                        <c:v>132724.65</c:v>
                      </c:pt>
                      <c:pt idx="18">
                        <c:v>124486.15</c:v>
                      </c:pt>
                      <c:pt idx="19" formatCode="General">
                        <c:v>124861.07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62C-4F02-A1C1-31C69D6830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dk1">
                        <a:tint val="985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DATA!$E$2:$E$21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18423.580000000002</c:v>
                      </c:pt>
                      <c:pt idx="1">
                        <c:v>20824.57</c:v>
                      </c:pt>
                      <c:pt idx="2">
                        <c:v>24891.64</c:v>
                      </c:pt>
                      <c:pt idx="3">
                        <c:v>28223.85</c:v>
                      </c:pt>
                      <c:pt idx="4">
                        <c:v>31132.38</c:v>
                      </c:pt>
                      <c:pt idx="5">
                        <c:v>34664.81</c:v>
                      </c:pt>
                      <c:pt idx="6">
                        <c:v>46044.62</c:v>
                      </c:pt>
                      <c:pt idx="7">
                        <c:v>53488.74</c:v>
                      </c:pt>
                      <c:pt idx="8">
                        <c:v>60485.5</c:v>
                      </c:pt>
                      <c:pt idx="9">
                        <c:v>71746.429999999993</c:v>
                      </c:pt>
                      <c:pt idx="10">
                        <c:v>78689.47</c:v>
                      </c:pt>
                      <c:pt idx="11">
                        <c:v>91096.31</c:v>
                      </c:pt>
                      <c:pt idx="12">
                        <c:v>99948.35</c:v>
                      </c:pt>
                      <c:pt idx="13">
                        <c:v>110316.39</c:v>
                      </c:pt>
                      <c:pt idx="14">
                        <c:v>104719.92</c:v>
                      </c:pt>
                      <c:pt idx="15">
                        <c:v>123446.33</c:v>
                      </c:pt>
                      <c:pt idx="16">
                        <c:v>146179.51</c:v>
                      </c:pt>
                      <c:pt idx="17">
                        <c:v>141950.94</c:v>
                      </c:pt>
                      <c:pt idx="18">
                        <c:v>142626.34</c:v>
                      </c:pt>
                      <c:pt idx="19" formatCode="General">
                        <c:v>155920.79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62C-4F02-A1C1-31C69D6830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DATA!$F$1</c15:sqref>
                        </c15:formulaRef>
                      </c:ext>
                    </c:extLst>
                    <c:strCache>
                      <c:ptCount val="1"/>
                      <c:pt idx="0">
                        <c:v>CAPITAL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dk1">
                        <a:tint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DATA!$F$2:$F$21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1104.06</c:v>
                      </c:pt>
                      <c:pt idx="1">
                        <c:v>1251.97</c:v>
                      </c:pt>
                      <c:pt idx="2">
                        <c:v>2367.7399999999998</c:v>
                      </c:pt>
                      <c:pt idx="3">
                        <c:v>2679.29</c:v>
                      </c:pt>
                      <c:pt idx="4">
                        <c:v>2936.06</c:v>
                      </c:pt>
                      <c:pt idx="5">
                        <c:v>4125.43</c:v>
                      </c:pt>
                      <c:pt idx="6">
                        <c:v>4851.46</c:v>
                      </c:pt>
                      <c:pt idx="7">
                        <c:v>5739.44</c:v>
                      </c:pt>
                      <c:pt idx="8">
                        <c:v>5758.5</c:v>
                      </c:pt>
                      <c:pt idx="9">
                        <c:v>4997.68</c:v>
                      </c:pt>
                      <c:pt idx="10">
                        <c:v>8342.2900000000009</c:v>
                      </c:pt>
                      <c:pt idx="11">
                        <c:v>11286.25</c:v>
                      </c:pt>
                      <c:pt idx="12">
                        <c:v>10289.459999999999</c:v>
                      </c:pt>
                      <c:pt idx="13">
                        <c:v>9753.43</c:v>
                      </c:pt>
                      <c:pt idx="14">
                        <c:v>9665.02</c:v>
                      </c:pt>
                      <c:pt idx="15">
                        <c:v>15438.16</c:v>
                      </c:pt>
                      <c:pt idx="16">
                        <c:v>17046.02</c:v>
                      </c:pt>
                      <c:pt idx="17">
                        <c:v>16787.490000000002</c:v>
                      </c:pt>
                      <c:pt idx="18">
                        <c:v>16880.169999999998</c:v>
                      </c:pt>
                      <c:pt idx="19" formatCode="General">
                        <c:v>17886.77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62C-4F02-A1C1-31C69D68307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DATA!$G$1</c15:sqref>
                        </c15:formulaRef>
                      </c:ext>
                    </c:extLst>
                    <c:strCache>
                      <c:ptCount val="1"/>
                      <c:pt idx="0">
                        <c:v>TOTAL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dk1">
                        <a:tint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DATA!$G$2:$G$21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19527.640000000003</c:v>
                      </c:pt>
                      <c:pt idx="1">
                        <c:v>22076.54</c:v>
                      </c:pt>
                      <c:pt idx="2">
                        <c:v>27259.379999999997</c:v>
                      </c:pt>
                      <c:pt idx="3">
                        <c:v>30903.14</c:v>
                      </c:pt>
                      <c:pt idx="4">
                        <c:v>34068.44</c:v>
                      </c:pt>
                      <c:pt idx="5">
                        <c:v>38790.239999999998</c:v>
                      </c:pt>
                      <c:pt idx="6">
                        <c:v>50896.08</c:v>
                      </c:pt>
                      <c:pt idx="7">
                        <c:v>59228.18</c:v>
                      </c:pt>
                      <c:pt idx="8">
                        <c:v>66244</c:v>
                      </c:pt>
                      <c:pt idx="9">
                        <c:v>76744.109999999986</c:v>
                      </c:pt>
                      <c:pt idx="10">
                        <c:v>87031.760000000009</c:v>
                      </c:pt>
                      <c:pt idx="11">
                        <c:v>102382.56</c:v>
                      </c:pt>
                      <c:pt idx="12">
                        <c:v>110237.81</c:v>
                      </c:pt>
                      <c:pt idx="13">
                        <c:v>120069.82</c:v>
                      </c:pt>
                      <c:pt idx="14">
                        <c:v>114384.94</c:v>
                      </c:pt>
                      <c:pt idx="15">
                        <c:v>138884.49</c:v>
                      </c:pt>
                      <c:pt idx="16">
                        <c:v>163225.53</c:v>
                      </c:pt>
                      <c:pt idx="17">
                        <c:v>158738.43</c:v>
                      </c:pt>
                      <c:pt idx="18">
                        <c:v>159506.51</c:v>
                      </c:pt>
                      <c:pt idx="19">
                        <c:v>173807.56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62C-4F02-A1C1-31C69D68307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DATA!$H$1</c15:sqref>
                        </c15:formulaRef>
                      </c:ext>
                    </c:extLst>
                    <c:strCache>
                      <c:ptCount val="1"/>
                      <c:pt idx="0">
                        <c:v>REVENUE DEFICIT</c:v>
                      </c:pt>
                    </c:strCache>
                  </c:strRef>
                </c:tx>
                <c:spPr>
                  <a:ln w="28575" cap="rnd">
                    <a:solidFill>
                      <a:schemeClr val="dk1">
                        <a:tint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DATA!$H$2:$H$21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3129.15</c:v>
                      </c:pt>
                      <c:pt idx="1">
                        <c:v>2637.95</c:v>
                      </c:pt>
                      <c:pt idx="2">
                        <c:v>3784.84</c:v>
                      </c:pt>
                      <c:pt idx="3">
                        <c:v>3711.67</c:v>
                      </c:pt>
                      <c:pt idx="4">
                        <c:v>5022.97</c:v>
                      </c:pt>
                      <c:pt idx="5">
                        <c:v>3673.8599999999969</c:v>
                      </c:pt>
                      <c:pt idx="6">
                        <c:v>8034.260000000002</c:v>
                      </c:pt>
                      <c:pt idx="7">
                        <c:v>9351.43</c:v>
                      </c:pt>
                      <c:pt idx="8">
                        <c:v>11308.559999999998</c:v>
                      </c:pt>
                      <c:pt idx="9">
                        <c:v>13795.959999999992</c:v>
                      </c:pt>
                      <c:pt idx="10">
                        <c:v>9656.8099999999977</c:v>
                      </c:pt>
                      <c:pt idx="11">
                        <c:v>15484.589999999997</c:v>
                      </c:pt>
                      <c:pt idx="12">
                        <c:v>16928.210000000006</c:v>
                      </c:pt>
                      <c:pt idx="13">
                        <c:v>17461.919999999998</c:v>
                      </c:pt>
                      <c:pt idx="14">
                        <c:v>14495.25</c:v>
                      </c:pt>
                      <c:pt idx="15">
                        <c:v>25829.5</c:v>
                      </c:pt>
                      <c:pt idx="16">
                        <c:v>29539.270000000004</c:v>
                      </c:pt>
                      <c:pt idx="17">
                        <c:v>9226.2900000000081</c:v>
                      </c:pt>
                      <c:pt idx="18">
                        <c:v>18140.190000000002</c:v>
                      </c:pt>
                      <c:pt idx="19">
                        <c:v>31059.72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62C-4F02-A1C1-31C69D68307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DATA!$I$1</c15:sqref>
                        </c15:formulaRef>
                      </c:ext>
                    </c:extLst>
                    <c:strCache>
                      <c:ptCount val="1"/>
                      <c:pt idx="0">
                        <c:v>FISCAL DEFICIT</c:v>
                      </c:pt>
                    </c:strCache>
                  </c:strRef>
                </c:tx>
                <c:spPr>
                  <a:ln w="28575" cap="rnd">
                    <a:solidFill>
                      <a:schemeClr val="dk1">
                        <a:tint val="885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DATA!$I$2:$I$21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4181.72</c:v>
                      </c:pt>
                      <c:pt idx="1">
                        <c:v>3821.87</c:v>
                      </c:pt>
                      <c:pt idx="2">
                        <c:v>6100.21</c:v>
                      </c:pt>
                      <c:pt idx="3">
                        <c:v>6346.21</c:v>
                      </c:pt>
                      <c:pt idx="4">
                        <c:v>7871.6</c:v>
                      </c:pt>
                      <c:pt idx="5">
                        <c:v>7730.46</c:v>
                      </c:pt>
                      <c:pt idx="6">
                        <c:v>12814.77</c:v>
                      </c:pt>
                      <c:pt idx="7">
                        <c:v>15002.47</c:v>
                      </c:pt>
                      <c:pt idx="8">
                        <c:v>16944.12</c:v>
                      </c:pt>
                      <c:pt idx="9">
                        <c:v>18641.73</c:v>
                      </c:pt>
                      <c:pt idx="10">
                        <c:v>17818.39</c:v>
                      </c:pt>
                      <c:pt idx="11">
                        <c:v>26448.35</c:v>
                      </c:pt>
                      <c:pt idx="12">
                        <c:v>26837.41</c:v>
                      </c:pt>
                      <c:pt idx="13">
                        <c:v>26958.3</c:v>
                      </c:pt>
                      <c:pt idx="14">
                        <c:v>23837.48</c:v>
                      </c:pt>
                      <c:pt idx="15">
                        <c:v>35203.69</c:v>
                      </c:pt>
                      <c:pt idx="16">
                        <c:v>37306.47</c:v>
                      </c:pt>
                      <c:pt idx="17">
                        <c:v>25554.54</c:v>
                      </c:pt>
                      <c:pt idx="18">
                        <c:v>34258.050000000003</c:v>
                      </c:pt>
                      <c:pt idx="19">
                        <c:v>48248.14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62C-4F02-A1C1-31C69D68307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DATA!$J$1</c15:sqref>
                        </c15:formulaRef>
                      </c:ext>
                    </c:extLst>
                    <c:strCache>
                      <c:ptCount val="1"/>
                      <c:pt idx="0">
                        <c:v>GSDP AT CURRENT PRICES</c:v>
                      </c:pt>
                    </c:strCache>
                  </c:strRef>
                </c:tx>
                <c:spPr>
                  <a:ln w="28575" cap="rnd">
                    <a:solidFill>
                      <a:schemeClr val="dk1">
                        <a:tint val="5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DATA!$J$2:$J$21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124389.42</c:v>
                      </c:pt>
                      <c:pt idx="1">
                        <c:v>142470.04</c:v>
                      </c:pt>
                      <c:pt idx="2">
                        <c:v>175141.08</c:v>
                      </c:pt>
                      <c:pt idx="3">
                        <c:v>201019.75</c:v>
                      </c:pt>
                      <c:pt idx="4">
                        <c:v>230315.55</c:v>
                      </c:pt>
                      <c:pt idx="5">
                        <c:v>276996.7</c:v>
                      </c:pt>
                      <c:pt idx="6">
                        <c:v>364047.88</c:v>
                      </c:pt>
                      <c:pt idx="7">
                        <c:v>412313</c:v>
                      </c:pt>
                      <c:pt idx="8">
                        <c:v>465041.21</c:v>
                      </c:pt>
                      <c:pt idx="9">
                        <c:v>512564.05</c:v>
                      </c:pt>
                      <c:pt idx="10">
                        <c:v>561993.61</c:v>
                      </c:pt>
                      <c:pt idx="11">
                        <c:v>634886.40000000002</c:v>
                      </c:pt>
                      <c:pt idx="12">
                        <c:v>701588.26</c:v>
                      </c:pt>
                      <c:pt idx="13">
                        <c:v>788285.58</c:v>
                      </c:pt>
                      <c:pt idx="14">
                        <c:v>812934.63</c:v>
                      </c:pt>
                      <c:pt idx="15">
                        <c:v>771723.89</c:v>
                      </c:pt>
                      <c:pt idx="16">
                        <c:v>924465.42</c:v>
                      </c:pt>
                      <c:pt idx="17">
                        <c:v>1038734.06</c:v>
                      </c:pt>
                      <c:pt idx="18">
                        <c:v>1135371.56</c:v>
                      </c:pt>
                      <c:pt idx="19">
                        <c:v>1248533.01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62C-4F02-A1C1-31C69D68307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DATA!$K$1</c15:sqref>
                        </c15:formulaRef>
                      </c:ext>
                    </c:extLst>
                    <c:strCache>
                      <c:ptCount val="1"/>
                      <c:pt idx="0">
                        <c:v>REVENUE RECEIPT RATIO</c:v>
                      </c:pt>
                    </c:strCache>
                  </c:strRef>
                </c:tx>
                <c:spPr>
                  <a:ln w="28575" cap="rnd">
                    <a:solidFill>
                      <a:schemeClr val="dk1">
                        <a:tint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DATA!$K$2:$K$21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12.29567595057522</c:v>
                      </c:pt>
                      <c:pt idx="1">
                        <c:v>12.765224183273899</c:v>
                      </c:pt>
                      <c:pt idx="2">
                        <c:v>12.051307437409889</c:v>
                      </c:pt>
                      <c:pt idx="3">
                        <c:v>12.193916269421289</c:v>
                      </c:pt>
                      <c:pt idx="4">
                        <c:v>11.336360050374369</c:v>
                      </c:pt>
                      <c:pt idx="5">
                        <c:v>11.188201881105444</c:v>
                      </c:pt>
                      <c:pt idx="6">
                        <c:v>10.441033195963124</c:v>
                      </c:pt>
                      <c:pt idx="7">
                        <c:v>10.704806785136533</c:v>
                      </c:pt>
                      <c:pt idx="8">
                        <c:v>10.57474884860204</c:v>
                      </c:pt>
                      <c:pt idx="9">
                        <c:v>11.305995806767955</c:v>
                      </c:pt>
                      <c:pt idx="10">
                        <c:v>12.283531124135024</c:v>
                      </c:pt>
                      <c:pt idx="11">
                        <c:v>11.909488059596175</c:v>
                      </c:pt>
                      <c:pt idx="12">
                        <c:v>11.833171210704124</c:v>
                      </c:pt>
                      <c:pt idx="13">
                        <c:v>11.779293235327229</c:v>
                      </c:pt>
                      <c:pt idx="14">
                        <c:v>11.098637783458678</c:v>
                      </c:pt>
                      <c:pt idx="15">
                        <c:v>12.649191150477407</c:v>
                      </c:pt>
                      <c:pt idx="16">
                        <c:v>12.617047374254408</c:v>
                      </c:pt>
                      <c:pt idx="17">
                        <c:v>12.77753903631503</c:v>
                      </c:pt>
                      <c:pt idx="18">
                        <c:v>10.964353378730042</c:v>
                      </c:pt>
                      <c:pt idx="19">
                        <c:v>10.000622250267938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62C-4F02-A1C1-31C69D68307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 RATIO</c:v>
                      </c:pt>
                    </c:strCache>
                  </c:strRef>
                </c:tx>
                <c:spPr>
                  <a:ln w="28575" cap="rnd">
                    <a:solidFill>
                      <a:schemeClr val="dk1">
                        <a:tint val="985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DATA!$L$2:$L$21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14.811211435827904</c:v>
                      </c:pt>
                      <c:pt idx="1">
                        <c:v>14.616806452781228</c:v>
                      </c:pt>
                      <c:pt idx="2">
                        <c:v>14.212336705928729</c:v>
                      </c:pt>
                      <c:pt idx="3">
                        <c:v>14.040336832574907</c:v>
                      </c:pt>
                      <c:pt idx="4">
                        <c:v>13.5172722814417</c:v>
                      </c:pt>
                      <c:pt idx="5">
                        <c:v>12.514520931115786</c:v>
                      </c:pt>
                      <c:pt idx="6">
                        <c:v>12.64795718629099</c:v>
                      </c:pt>
                      <c:pt idx="7">
                        <c:v>12.972848297288712</c:v>
                      </c:pt>
                      <c:pt idx="8">
                        <c:v>13.006481726640956</c:v>
                      </c:pt>
                      <c:pt idx="9">
                        <c:v>13.997554061780178</c:v>
                      </c:pt>
                      <c:pt idx="10">
                        <c:v>14.00184425584483</c:v>
                      </c:pt>
                      <c:pt idx="11">
                        <c:v>14.348442493019222</c:v>
                      </c:pt>
                      <c:pt idx="12">
                        <c:v>14.246012326375018</c:v>
                      </c:pt>
                      <c:pt idx="13">
                        <c:v>13.994470125915534</c:v>
                      </c:pt>
                      <c:pt idx="14">
                        <c:v>12.881714732708582</c:v>
                      </c:pt>
                      <c:pt idx="15">
                        <c:v>15.99617837410735</c:v>
                      </c:pt>
                      <c:pt idx="16">
                        <c:v>15.812328599592185</c:v>
                      </c:pt>
                      <c:pt idx="17">
                        <c:v>13.665763496770289</c:v>
                      </c:pt>
                      <c:pt idx="18">
                        <c:v>12.562084961860414</c:v>
                      </c:pt>
                      <c:pt idx="19">
                        <c:v>12.488319391731581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62C-4F02-A1C1-31C69D68307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DATA!$M$1</c15:sqref>
                        </c15:formulaRef>
                      </c:ext>
                    </c:extLst>
                    <c:strCache>
                      <c:ptCount val="1"/>
                      <c:pt idx="0">
                        <c:v>CAPITAL EXPENDITURE RATIO</c:v>
                      </c:pt>
                    </c:strCache>
                  </c:strRef>
                </c:tx>
                <c:spPr>
                  <a:ln w="28575" cap="rnd">
                    <a:solidFill>
                      <a:schemeClr val="dk1">
                        <a:tint val="3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dk1">
                        <a:tint val="30000"/>
                      </a:schemeClr>
                    </a:solidFill>
                    <a:ln w="9525">
                      <a:solidFill>
                        <a:schemeClr val="dk1">
                          <a:tint val="3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DATA!$M$2:$M$21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0.88758352599441326</c:v>
                      </c:pt>
                      <c:pt idx="1">
                        <c:v>0.87876019407308359</c:v>
                      </c:pt>
                      <c:pt idx="2">
                        <c:v>1.3519044189975304</c:v>
                      </c:pt>
                      <c:pt idx="3">
                        <c:v>1.3328491354705196</c:v>
                      </c:pt>
                      <c:pt idx="4">
                        <c:v>1.2747988574805307</c:v>
                      </c:pt>
                      <c:pt idx="5">
                        <c:v>1.4893426528186076</c:v>
                      </c:pt>
                      <c:pt idx="6">
                        <c:v>1.3326433874577157</c:v>
                      </c:pt>
                      <c:pt idx="7">
                        <c:v>1.3920104386715917</c:v>
                      </c:pt>
                      <c:pt idx="8">
                        <c:v>1.2382773561078597</c:v>
                      </c:pt>
                      <c:pt idx="9">
                        <c:v>0.97503521754988487</c:v>
                      </c:pt>
                      <c:pt idx="10">
                        <c:v>1.4844101163356647</c:v>
                      </c:pt>
                      <c:pt idx="11">
                        <c:v>1.7776802275178676</c:v>
                      </c:pt>
                      <c:pt idx="12">
                        <c:v>1.4665952363570049</c:v>
                      </c:pt>
                      <c:pt idx="13">
                        <c:v>1.2372965137837484</c:v>
                      </c:pt>
                      <c:pt idx="14">
                        <c:v>1.1889049430702687</c:v>
                      </c:pt>
                      <c:pt idx="15">
                        <c:v>2.0004771395634777</c:v>
                      </c:pt>
                      <c:pt idx="16">
                        <c:v>1.8438785952642773</c:v>
                      </c:pt>
                      <c:pt idx="17">
                        <c:v>1.6161489881250262</c:v>
                      </c:pt>
                      <c:pt idx="18">
                        <c:v>1.4867529357525915</c:v>
                      </c:pt>
                      <c:pt idx="19">
                        <c:v>1.4326229147918164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62C-4F02-A1C1-31C69D68307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DATA!$N$1</c15:sqref>
                        </c15:formulaRef>
                      </c:ext>
                    </c:extLst>
                    <c:strCache>
                      <c:ptCount val="1"/>
                      <c:pt idx="0">
                        <c:v>TOTAL EXPENDITURE RATIO</c:v>
                      </c:pt>
                    </c:strCache>
                  </c:strRef>
                </c:tx>
                <c:spPr>
                  <a:ln w="28575" cap="rnd">
                    <a:solidFill>
                      <a:schemeClr val="dk1">
                        <a:tint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dk1">
                        <a:tint val="60000"/>
                      </a:schemeClr>
                    </a:solidFill>
                    <a:ln w="9525">
                      <a:solidFill>
                        <a:schemeClr val="dk1">
                          <a:tint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DATA!$N$2:$N$21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15.698794961822319</c:v>
                      </c:pt>
                      <c:pt idx="1">
                        <c:v>15.495566646854314</c:v>
                      </c:pt>
                      <c:pt idx="2">
                        <c:v>15.564241124926259</c:v>
                      </c:pt>
                      <c:pt idx="3">
                        <c:v>15.373185968045428</c:v>
                      </c:pt>
                      <c:pt idx="4">
                        <c:v>14.792071138922234</c:v>
                      </c:pt>
                      <c:pt idx="5">
                        <c:v>14.003863583934391</c:v>
                      </c:pt>
                      <c:pt idx="6">
                        <c:v>13.980600573748706</c:v>
                      </c:pt>
                      <c:pt idx="7">
                        <c:v>14.364858735960301</c:v>
                      </c:pt>
                      <c:pt idx="8">
                        <c:v>14.244759082748818</c:v>
                      </c:pt>
                      <c:pt idx="9">
                        <c:v>14.972589279330064</c:v>
                      </c:pt>
                      <c:pt idx="10">
                        <c:v>15.486254372180497</c:v>
                      </c:pt>
                      <c:pt idx="11">
                        <c:v>16.12612272053709</c:v>
                      </c:pt>
                      <c:pt idx="12">
                        <c:v>15.712607562732019</c:v>
                      </c:pt>
                      <c:pt idx="13">
                        <c:v>15.231766639699284</c:v>
                      </c:pt>
                      <c:pt idx="14">
                        <c:v>14.07061967577885</c:v>
                      </c:pt>
                      <c:pt idx="15">
                        <c:v>17.996655513670827</c:v>
                      </c:pt>
                      <c:pt idx="16">
                        <c:v>17.65620719485646</c:v>
                      </c:pt>
                      <c:pt idx="17">
                        <c:v>15.281912484895313</c:v>
                      </c:pt>
                      <c:pt idx="18">
                        <c:v>14.048837897613007</c:v>
                      </c:pt>
                      <c:pt idx="19">
                        <c:v>13.920942306523399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62C-4F02-A1C1-31C69D683074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DATA!$O$1</c15:sqref>
                        </c15:formulaRef>
                      </c:ext>
                    </c:extLst>
                    <c:strCache>
                      <c:ptCount val="1"/>
                      <c:pt idx="0">
                        <c:v>REVENUE DEFICIT RATIO</c:v>
                      </c:pt>
                    </c:strCache>
                  </c:strRef>
                </c:tx>
                <c:spPr>
                  <a:ln w="28575" cap="rnd">
                    <a:solidFill>
                      <a:schemeClr val="dk1">
                        <a:tint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shade val="44000"/>
                      </a:schemeClr>
                    </a:solidFill>
                    <a:ln w="9525">
                      <a:solidFill>
                        <a:schemeClr val="accent6">
                          <a:shade val="44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DATA!$O$2:$O$21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2.515607838673096</c:v>
                      </c:pt>
                      <c:pt idx="1">
                        <c:v>1.8515822695073292</c:v>
                      </c:pt>
                      <c:pt idx="2">
                        <c:v>2.1610235588361113</c:v>
                      </c:pt>
                      <c:pt idx="3">
                        <c:v>1.8464205631536206</c:v>
                      </c:pt>
                      <c:pt idx="4">
                        <c:v>2.1809078891981026</c:v>
                      </c:pt>
                      <c:pt idx="5">
                        <c:v>1.3263190500103419</c:v>
                      </c:pt>
                      <c:pt idx="6">
                        <c:v>2.2069239903278661</c:v>
                      </c:pt>
                      <c:pt idx="7">
                        <c:v>2.2680415121521755</c:v>
                      </c:pt>
                      <c:pt idx="8">
                        <c:v>2.4317328780389156</c:v>
                      </c:pt>
                      <c:pt idx="9">
                        <c:v>2.6915582550122257</c:v>
                      </c:pt>
                      <c:pt idx="10">
                        <c:v>1.7183131317098068</c:v>
                      </c:pt>
                      <c:pt idx="11">
                        <c:v>2.4389544334230497</c:v>
                      </c:pt>
                      <c:pt idx="12">
                        <c:v>2.4128411156708931</c:v>
                      </c:pt>
                      <c:pt idx="13">
                        <c:v>2.2151768905883067</c:v>
                      </c:pt>
                      <c:pt idx="14">
                        <c:v>1.7830769492499046</c:v>
                      </c:pt>
                      <c:pt idx="15">
                        <c:v>3.3469872236299434</c:v>
                      </c:pt>
                      <c:pt idx="16">
                        <c:v>3.1952812253377747</c:v>
                      </c:pt>
                      <c:pt idx="17">
                        <c:v>0.88822446045525916</c:v>
                      </c:pt>
                      <c:pt idx="18">
                        <c:v>1.597731583130372</c:v>
                      </c:pt>
                      <c:pt idx="19">
                        <c:v>2.4876971414636446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62C-4F02-A1C1-31C69D683074}"/>
                  </c:ext>
                </c:extLst>
              </c15:ser>
            </c15:filteredLineSeries>
          </c:ext>
        </c:extLst>
      </c:lineChart>
      <c:catAx>
        <c:axId val="50726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6409147938507828"/>
              <c:y val="0.841344255458647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7254624"/>
        <c:crosses val="autoZero"/>
        <c:auto val="1"/>
        <c:lblAlgn val="ctr"/>
        <c:lblOffset val="100"/>
        <c:noMultiLvlLbl val="0"/>
      </c:catAx>
      <c:valAx>
        <c:axId val="5072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FISCAL DEFICIT RATIO</a:t>
                </a:r>
              </a:p>
            </c:rich>
          </c:tx>
          <c:layout>
            <c:manualLayout>
              <c:xMode val="edge"/>
              <c:yMode val="edge"/>
              <c:x val="1.6775608289479962E-2"/>
              <c:y val="0.176074102734110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726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Trend</a:t>
            </a:r>
            <a:r>
              <a:rPr lang="en-US" sz="1400" b="1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 Capital Expenditure Ratio</a:t>
            </a:r>
            <a:r>
              <a:rPr lang="en-US" sz="1400" b="1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(% OF GSDP) in Kerala (2005-2025)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1"/>
          <c:order val="11"/>
          <c:tx>
            <c:strRef>
              <c:f>DATA!$M$1</c:f>
              <c:strCache>
                <c:ptCount val="1"/>
                <c:pt idx="0">
                  <c:v>CAPITAL EXPENDITURE RATIO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65000"/>
                </a:schemeClr>
              </a:solidFill>
              <a:ln w="9525">
                <a:solidFill>
                  <a:schemeClr val="accent4">
                    <a:shade val="65000"/>
                  </a:schemeClr>
                </a:solidFill>
              </a:ln>
              <a:effectLst/>
            </c:spPr>
          </c:marker>
          <c:cat>
            <c:strRef>
              <c:f>DATA!$A$2:$A$21</c:f>
              <c:strCache>
                <c:ptCount val="20"/>
                <c:pt idx="0">
                  <c:v>2005-2006</c:v>
                </c:pt>
                <c:pt idx="1">
                  <c:v>2006-2007</c:v>
                </c:pt>
                <c:pt idx="2">
                  <c:v>2007-2008</c:v>
                </c:pt>
                <c:pt idx="3">
                  <c:v>2008-2009</c:v>
                </c:pt>
                <c:pt idx="4">
                  <c:v>2009-2010</c:v>
                </c:pt>
                <c:pt idx="5">
                  <c:v>2010-2011</c:v>
                </c:pt>
                <c:pt idx="6">
                  <c:v>2011-2012</c:v>
                </c:pt>
                <c:pt idx="7">
                  <c:v>2012-2013</c:v>
                </c:pt>
                <c:pt idx="8">
                  <c:v>2013-2014</c:v>
                </c:pt>
                <c:pt idx="9">
                  <c:v>2014-2015</c:v>
                </c:pt>
                <c:pt idx="10">
                  <c:v>2015-2016</c:v>
                </c:pt>
                <c:pt idx="11">
                  <c:v>2016-2017</c:v>
                </c:pt>
                <c:pt idx="12">
                  <c:v>2017-2018</c:v>
                </c:pt>
                <c:pt idx="13">
                  <c:v>2018-2019</c:v>
                </c:pt>
                <c:pt idx="14">
                  <c:v>2019-2020</c:v>
                </c:pt>
                <c:pt idx="15">
                  <c:v>2020-2021</c:v>
                </c:pt>
                <c:pt idx="16">
                  <c:v>2021-2022</c:v>
                </c:pt>
                <c:pt idx="17">
                  <c:v>2022-2023</c:v>
                </c:pt>
                <c:pt idx="18">
                  <c:v>2023-2024</c:v>
                </c:pt>
                <c:pt idx="19">
                  <c:v>2024-2025</c:v>
                </c:pt>
              </c:strCache>
              <c:extLst xmlns:c15="http://schemas.microsoft.com/office/drawing/2012/chart"/>
            </c:strRef>
          </c:cat>
          <c:val>
            <c:numRef>
              <c:f>DATA!$M$2:$M$21</c:f>
              <c:numCache>
                <c:formatCode>0.00</c:formatCode>
                <c:ptCount val="20"/>
                <c:pt idx="0">
                  <c:v>0.88758352599441326</c:v>
                </c:pt>
                <c:pt idx="1">
                  <c:v>0.87876019407308359</c:v>
                </c:pt>
                <c:pt idx="2">
                  <c:v>1.3519044189975304</c:v>
                </c:pt>
                <c:pt idx="3">
                  <c:v>1.3328491354705196</c:v>
                </c:pt>
                <c:pt idx="4">
                  <c:v>1.2747988574805307</c:v>
                </c:pt>
                <c:pt idx="5">
                  <c:v>1.4893426528186076</c:v>
                </c:pt>
                <c:pt idx="6">
                  <c:v>1.3326433874577157</c:v>
                </c:pt>
                <c:pt idx="7">
                  <c:v>1.3920104386715917</c:v>
                </c:pt>
                <c:pt idx="8">
                  <c:v>1.2382773561078597</c:v>
                </c:pt>
                <c:pt idx="9">
                  <c:v>0.97503521754988487</c:v>
                </c:pt>
                <c:pt idx="10">
                  <c:v>1.4844101163356647</c:v>
                </c:pt>
                <c:pt idx="11">
                  <c:v>1.7776802275178676</c:v>
                </c:pt>
                <c:pt idx="12">
                  <c:v>1.4665952363570049</c:v>
                </c:pt>
                <c:pt idx="13">
                  <c:v>1.2372965137837484</c:v>
                </c:pt>
                <c:pt idx="14">
                  <c:v>1.1889049430702687</c:v>
                </c:pt>
                <c:pt idx="15">
                  <c:v>2.0004771395634777</c:v>
                </c:pt>
                <c:pt idx="16">
                  <c:v>1.8438785952642773</c:v>
                </c:pt>
                <c:pt idx="17">
                  <c:v>1.6161489881250262</c:v>
                </c:pt>
                <c:pt idx="18">
                  <c:v>1.4867529357525915</c:v>
                </c:pt>
                <c:pt idx="19">
                  <c:v>1.4326229147918164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C-9241-44E0-8125-A2284203C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261344"/>
        <c:axId val="5072546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DATA!$B$1</c15:sqref>
                        </c15:formulaRef>
                      </c:ext>
                    </c:extLst>
                    <c:strCache>
                      <c:ptCount val="1"/>
                      <c:pt idx="0">
                        <c:v>OWN 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39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DATA!$B$2:$B$21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9779.64</c:v>
                      </c:pt>
                      <c:pt idx="1">
                        <c:v>11941.82</c:v>
                      </c:pt>
                      <c:pt idx="2">
                        <c:v>13668.95</c:v>
                      </c:pt>
                      <c:pt idx="3">
                        <c:v>15990.18</c:v>
                      </c:pt>
                      <c:pt idx="4">
                        <c:v>17625.02</c:v>
                      </c:pt>
                      <c:pt idx="5">
                        <c:v>21721.69</c:v>
                      </c:pt>
                      <c:pt idx="6" formatCode="0.0">
                        <c:v>25718.6</c:v>
                      </c:pt>
                      <c:pt idx="7">
                        <c:v>30076.61</c:v>
                      </c:pt>
                      <c:pt idx="8">
                        <c:v>31995.02</c:v>
                      </c:pt>
                      <c:pt idx="9" formatCode="0.0">
                        <c:v>35232.5</c:v>
                      </c:pt>
                      <c:pt idx="10">
                        <c:v>38995.15</c:v>
                      </c:pt>
                      <c:pt idx="11">
                        <c:v>42176.38</c:v>
                      </c:pt>
                      <c:pt idx="12">
                        <c:v>46459.61</c:v>
                      </c:pt>
                      <c:pt idx="13" formatCode="0.0">
                        <c:v>50644.1</c:v>
                      </c:pt>
                      <c:pt idx="14">
                        <c:v>50323.14</c:v>
                      </c:pt>
                      <c:pt idx="15">
                        <c:v>47660.84</c:v>
                      </c:pt>
                      <c:pt idx="16">
                        <c:v>58340.52</c:v>
                      </c:pt>
                      <c:pt idx="17">
                        <c:v>71968.160000000003</c:v>
                      </c:pt>
                      <c:pt idx="18">
                        <c:v>74329.009999999995</c:v>
                      </c:pt>
                      <c:pt idx="19" formatCode="General">
                        <c:v>76642.2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41-44E0-8125-A2284203C2E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DATA!$C$1</c15:sqref>
                        </c15:formulaRef>
                      </c:ext>
                    </c:extLst>
                    <c:strCache>
                      <c:ptCount val="1"/>
                      <c:pt idx="0">
                        <c:v>OWN NON-TAX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48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DATA!$C$2:$C$21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936.77</c:v>
                      </c:pt>
                      <c:pt idx="1">
                        <c:v>937.57</c:v>
                      </c:pt>
                      <c:pt idx="2">
                        <c:v>1209.55</c:v>
                      </c:pt>
                      <c:pt idx="3">
                        <c:v>1559.29</c:v>
                      </c:pt>
                      <c:pt idx="4">
                        <c:v>1852.22</c:v>
                      </c:pt>
                      <c:pt idx="5">
                        <c:v>1930.79</c:v>
                      </c:pt>
                      <c:pt idx="6">
                        <c:v>2592.1799999999998</c:v>
                      </c:pt>
                      <c:pt idx="7">
                        <c:v>4198.5200000000004</c:v>
                      </c:pt>
                      <c:pt idx="8">
                        <c:v>5575.03</c:v>
                      </c:pt>
                      <c:pt idx="9">
                        <c:v>7283.69</c:v>
                      </c:pt>
                      <c:pt idx="10">
                        <c:v>8425.49</c:v>
                      </c:pt>
                      <c:pt idx="11">
                        <c:v>9699.98</c:v>
                      </c:pt>
                      <c:pt idx="12">
                        <c:v>11199.61</c:v>
                      </c:pt>
                      <c:pt idx="13">
                        <c:v>11783.24</c:v>
                      </c:pt>
                      <c:pt idx="14">
                        <c:v>12265.22</c:v>
                      </c:pt>
                      <c:pt idx="15">
                        <c:v>7327.31</c:v>
                      </c:pt>
                      <c:pt idx="16">
                        <c:v>10462.51</c:v>
                      </c:pt>
                      <c:pt idx="17">
                        <c:v>15117.96</c:v>
                      </c:pt>
                      <c:pt idx="18">
                        <c:v>16345.96</c:v>
                      </c:pt>
                      <c:pt idx="19" formatCode="General">
                        <c:v>16486.62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41-44E0-8125-A2284203C2E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DATA!$D$1</c15:sqref>
                        </c15:formulaRef>
                      </c:ext>
                    </c:extLst>
                    <c:strCache>
                      <c:ptCount val="1"/>
                      <c:pt idx="0">
                        <c:v>REVENUE RECEIPT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57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DATA!$D$2:$D$21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15294.52</c:v>
                      </c:pt>
                      <c:pt idx="1">
                        <c:v>18186.62</c:v>
                      </c:pt>
                      <c:pt idx="2">
                        <c:v>21106.79</c:v>
                      </c:pt>
                      <c:pt idx="3">
                        <c:v>24512.18</c:v>
                      </c:pt>
                      <c:pt idx="4">
                        <c:v>26109.4</c:v>
                      </c:pt>
                      <c:pt idx="5">
                        <c:v>30990.95</c:v>
                      </c:pt>
                      <c:pt idx="6">
                        <c:v>38010.36</c:v>
                      </c:pt>
                      <c:pt idx="7">
                        <c:v>44137.31</c:v>
                      </c:pt>
                      <c:pt idx="8">
                        <c:v>49176.94</c:v>
                      </c:pt>
                      <c:pt idx="9">
                        <c:v>57950.47</c:v>
                      </c:pt>
                      <c:pt idx="10">
                        <c:v>69032.66</c:v>
                      </c:pt>
                      <c:pt idx="11">
                        <c:v>75611.72</c:v>
                      </c:pt>
                      <c:pt idx="12">
                        <c:v>83020.14</c:v>
                      </c:pt>
                      <c:pt idx="13">
                        <c:v>92854.47</c:v>
                      </c:pt>
                      <c:pt idx="14">
                        <c:v>90224.67</c:v>
                      </c:pt>
                      <c:pt idx="15">
                        <c:v>97616.83</c:v>
                      </c:pt>
                      <c:pt idx="16">
                        <c:v>116640.24</c:v>
                      </c:pt>
                      <c:pt idx="17">
                        <c:v>132724.65</c:v>
                      </c:pt>
                      <c:pt idx="18">
                        <c:v>124486.15</c:v>
                      </c:pt>
                      <c:pt idx="19" formatCode="General">
                        <c:v>124861.07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41-44E0-8125-A2284203C2E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6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DATA!$E$2:$E$21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18423.580000000002</c:v>
                      </c:pt>
                      <c:pt idx="1">
                        <c:v>20824.57</c:v>
                      </c:pt>
                      <c:pt idx="2">
                        <c:v>24891.64</c:v>
                      </c:pt>
                      <c:pt idx="3">
                        <c:v>28223.85</c:v>
                      </c:pt>
                      <c:pt idx="4">
                        <c:v>31132.38</c:v>
                      </c:pt>
                      <c:pt idx="5">
                        <c:v>34664.81</c:v>
                      </c:pt>
                      <c:pt idx="6">
                        <c:v>46044.62</c:v>
                      </c:pt>
                      <c:pt idx="7">
                        <c:v>53488.74</c:v>
                      </c:pt>
                      <c:pt idx="8">
                        <c:v>60485.5</c:v>
                      </c:pt>
                      <c:pt idx="9">
                        <c:v>71746.429999999993</c:v>
                      </c:pt>
                      <c:pt idx="10">
                        <c:v>78689.47</c:v>
                      </c:pt>
                      <c:pt idx="11">
                        <c:v>91096.31</c:v>
                      </c:pt>
                      <c:pt idx="12">
                        <c:v>99948.35</c:v>
                      </c:pt>
                      <c:pt idx="13">
                        <c:v>110316.39</c:v>
                      </c:pt>
                      <c:pt idx="14">
                        <c:v>104719.92</c:v>
                      </c:pt>
                      <c:pt idx="15">
                        <c:v>123446.33</c:v>
                      </c:pt>
                      <c:pt idx="16">
                        <c:v>146179.51</c:v>
                      </c:pt>
                      <c:pt idx="17">
                        <c:v>141950.94</c:v>
                      </c:pt>
                      <c:pt idx="18">
                        <c:v>142626.34</c:v>
                      </c:pt>
                      <c:pt idx="19" formatCode="General">
                        <c:v>155920.79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41-44E0-8125-A2284203C2E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DATA!$F$1</c15:sqref>
                        </c15:formulaRef>
                      </c:ext>
                    </c:extLst>
                    <c:strCache>
                      <c:ptCount val="1"/>
                      <c:pt idx="0">
                        <c:v>CAPITAL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74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DATA!$F$2:$F$21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1104.06</c:v>
                      </c:pt>
                      <c:pt idx="1">
                        <c:v>1251.97</c:v>
                      </c:pt>
                      <c:pt idx="2">
                        <c:v>2367.7399999999998</c:v>
                      </c:pt>
                      <c:pt idx="3">
                        <c:v>2679.29</c:v>
                      </c:pt>
                      <c:pt idx="4">
                        <c:v>2936.06</c:v>
                      </c:pt>
                      <c:pt idx="5">
                        <c:v>4125.43</c:v>
                      </c:pt>
                      <c:pt idx="6">
                        <c:v>4851.46</c:v>
                      </c:pt>
                      <c:pt idx="7">
                        <c:v>5739.44</c:v>
                      </c:pt>
                      <c:pt idx="8">
                        <c:v>5758.5</c:v>
                      </c:pt>
                      <c:pt idx="9">
                        <c:v>4997.68</c:v>
                      </c:pt>
                      <c:pt idx="10">
                        <c:v>8342.2900000000009</c:v>
                      </c:pt>
                      <c:pt idx="11">
                        <c:v>11286.25</c:v>
                      </c:pt>
                      <c:pt idx="12">
                        <c:v>10289.459999999999</c:v>
                      </c:pt>
                      <c:pt idx="13">
                        <c:v>9753.43</c:v>
                      </c:pt>
                      <c:pt idx="14">
                        <c:v>9665.02</c:v>
                      </c:pt>
                      <c:pt idx="15">
                        <c:v>15438.16</c:v>
                      </c:pt>
                      <c:pt idx="16">
                        <c:v>17046.02</c:v>
                      </c:pt>
                      <c:pt idx="17">
                        <c:v>16787.490000000002</c:v>
                      </c:pt>
                      <c:pt idx="18">
                        <c:v>16880.169999999998</c:v>
                      </c:pt>
                      <c:pt idx="19" formatCode="General">
                        <c:v>17886.77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41-44E0-8125-A2284203C2E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DATA!$G$1</c15:sqref>
                        </c15:formulaRef>
                      </c:ext>
                    </c:extLst>
                    <c:strCache>
                      <c:ptCount val="1"/>
                      <c:pt idx="0">
                        <c:v>TOTAL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83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DATA!$G$2:$G$21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19527.640000000003</c:v>
                      </c:pt>
                      <c:pt idx="1">
                        <c:v>22076.54</c:v>
                      </c:pt>
                      <c:pt idx="2">
                        <c:v>27259.379999999997</c:v>
                      </c:pt>
                      <c:pt idx="3">
                        <c:v>30903.14</c:v>
                      </c:pt>
                      <c:pt idx="4">
                        <c:v>34068.44</c:v>
                      </c:pt>
                      <c:pt idx="5">
                        <c:v>38790.239999999998</c:v>
                      </c:pt>
                      <c:pt idx="6">
                        <c:v>50896.08</c:v>
                      </c:pt>
                      <c:pt idx="7">
                        <c:v>59228.18</c:v>
                      </c:pt>
                      <c:pt idx="8">
                        <c:v>66244</c:v>
                      </c:pt>
                      <c:pt idx="9">
                        <c:v>76744.109999999986</c:v>
                      </c:pt>
                      <c:pt idx="10">
                        <c:v>87031.760000000009</c:v>
                      </c:pt>
                      <c:pt idx="11">
                        <c:v>102382.56</c:v>
                      </c:pt>
                      <c:pt idx="12">
                        <c:v>110237.81</c:v>
                      </c:pt>
                      <c:pt idx="13">
                        <c:v>120069.82</c:v>
                      </c:pt>
                      <c:pt idx="14">
                        <c:v>114384.94</c:v>
                      </c:pt>
                      <c:pt idx="15">
                        <c:v>138884.49</c:v>
                      </c:pt>
                      <c:pt idx="16">
                        <c:v>163225.53</c:v>
                      </c:pt>
                      <c:pt idx="17">
                        <c:v>158738.43</c:v>
                      </c:pt>
                      <c:pt idx="18">
                        <c:v>159506.51</c:v>
                      </c:pt>
                      <c:pt idx="19">
                        <c:v>173807.56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41-44E0-8125-A2284203C2E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DATA!$H$1</c15:sqref>
                        </c15:formulaRef>
                      </c:ext>
                    </c:extLst>
                    <c:strCache>
                      <c:ptCount val="1"/>
                      <c:pt idx="0">
                        <c:v>REVENUE DEFICIT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9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DATA!$H$2:$H$21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3129.15</c:v>
                      </c:pt>
                      <c:pt idx="1">
                        <c:v>2637.95</c:v>
                      </c:pt>
                      <c:pt idx="2">
                        <c:v>3784.84</c:v>
                      </c:pt>
                      <c:pt idx="3">
                        <c:v>3711.67</c:v>
                      </c:pt>
                      <c:pt idx="4">
                        <c:v>5022.97</c:v>
                      </c:pt>
                      <c:pt idx="5">
                        <c:v>3673.8599999999969</c:v>
                      </c:pt>
                      <c:pt idx="6">
                        <c:v>8034.260000000002</c:v>
                      </c:pt>
                      <c:pt idx="7">
                        <c:v>9351.43</c:v>
                      </c:pt>
                      <c:pt idx="8">
                        <c:v>11308.559999999998</c:v>
                      </c:pt>
                      <c:pt idx="9">
                        <c:v>13795.959999999992</c:v>
                      </c:pt>
                      <c:pt idx="10">
                        <c:v>9656.8099999999977</c:v>
                      </c:pt>
                      <c:pt idx="11">
                        <c:v>15484.589999999997</c:v>
                      </c:pt>
                      <c:pt idx="12">
                        <c:v>16928.210000000006</c:v>
                      </c:pt>
                      <c:pt idx="13">
                        <c:v>17461.919999999998</c:v>
                      </c:pt>
                      <c:pt idx="14">
                        <c:v>14495.25</c:v>
                      </c:pt>
                      <c:pt idx="15">
                        <c:v>25829.5</c:v>
                      </c:pt>
                      <c:pt idx="16">
                        <c:v>29539.270000000004</c:v>
                      </c:pt>
                      <c:pt idx="17">
                        <c:v>9226.2900000000081</c:v>
                      </c:pt>
                      <c:pt idx="18">
                        <c:v>18140.190000000002</c:v>
                      </c:pt>
                      <c:pt idx="19">
                        <c:v>31059.72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41-44E0-8125-A2284203C2E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DATA!$I$1</c15:sqref>
                        </c15:formulaRef>
                      </c:ext>
                    </c:extLst>
                    <c:strCache>
                      <c:ptCount val="1"/>
                      <c:pt idx="0">
                        <c:v>FISCAL DEFICIT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DATA!$I$2:$I$21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4181.72</c:v>
                      </c:pt>
                      <c:pt idx="1">
                        <c:v>3821.87</c:v>
                      </c:pt>
                      <c:pt idx="2">
                        <c:v>6100.21</c:v>
                      </c:pt>
                      <c:pt idx="3">
                        <c:v>6346.21</c:v>
                      </c:pt>
                      <c:pt idx="4">
                        <c:v>7871.6</c:v>
                      </c:pt>
                      <c:pt idx="5">
                        <c:v>7730.46</c:v>
                      </c:pt>
                      <c:pt idx="6">
                        <c:v>12814.77</c:v>
                      </c:pt>
                      <c:pt idx="7">
                        <c:v>15002.47</c:v>
                      </c:pt>
                      <c:pt idx="8">
                        <c:v>16944.12</c:v>
                      </c:pt>
                      <c:pt idx="9">
                        <c:v>18641.73</c:v>
                      </c:pt>
                      <c:pt idx="10">
                        <c:v>17818.39</c:v>
                      </c:pt>
                      <c:pt idx="11">
                        <c:v>26448.35</c:v>
                      </c:pt>
                      <c:pt idx="12">
                        <c:v>26837.41</c:v>
                      </c:pt>
                      <c:pt idx="13">
                        <c:v>26958.3</c:v>
                      </c:pt>
                      <c:pt idx="14">
                        <c:v>23837.48</c:v>
                      </c:pt>
                      <c:pt idx="15">
                        <c:v>35203.69</c:v>
                      </c:pt>
                      <c:pt idx="16">
                        <c:v>37306.47</c:v>
                      </c:pt>
                      <c:pt idx="17">
                        <c:v>25554.54</c:v>
                      </c:pt>
                      <c:pt idx="18">
                        <c:v>34258.050000000003</c:v>
                      </c:pt>
                      <c:pt idx="19">
                        <c:v>48248.14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241-44E0-8125-A2284203C2E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DATA!$J$1</c15:sqref>
                        </c15:formulaRef>
                      </c:ext>
                    </c:extLst>
                    <c:strCache>
                      <c:ptCount val="1"/>
                      <c:pt idx="0">
                        <c:v>GSDP AT CURRENT PRICES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91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DATA!$J$2:$J$21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124389.42</c:v>
                      </c:pt>
                      <c:pt idx="1">
                        <c:v>142470.04</c:v>
                      </c:pt>
                      <c:pt idx="2">
                        <c:v>175141.08</c:v>
                      </c:pt>
                      <c:pt idx="3">
                        <c:v>201019.75</c:v>
                      </c:pt>
                      <c:pt idx="4">
                        <c:v>230315.55</c:v>
                      </c:pt>
                      <c:pt idx="5">
                        <c:v>276996.7</c:v>
                      </c:pt>
                      <c:pt idx="6">
                        <c:v>364047.88</c:v>
                      </c:pt>
                      <c:pt idx="7">
                        <c:v>412313</c:v>
                      </c:pt>
                      <c:pt idx="8">
                        <c:v>465041.21</c:v>
                      </c:pt>
                      <c:pt idx="9">
                        <c:v>512564.05</c:v>
                      </c:pt>
                      <c:pt idx="10">
                        <c:v>561993.61</c:v>
                      </c:pt>
                      <c:pt idx="11">
                        <c:v>634886.40000000002</c:v>
                      </c:pt>
                      <c:pt idx="12">
                        <c:v>701588.26</c:v>
                      </c:pt>
                      <c:pt idx="13">
                        <c:v>788285.58</c:v>
                      </c:pt>
                      <c:pt idx="14">
                        <c:v>812934.63</c:v>
                      </c:pt>
                      <c:pt idx="15">
                        <c:v>771723.89</c:v>
                      </c:pt>
                      <c:pt idx="16">
                        <c:v>924465.42</c:v>
                      </c:pt>
                      <c:pt idx="17">
                        <c:v>1038734.06</c:v>
                      </c:pt>
                      <c:pt idx="18">
                        <c:v>1135371.56</c:v>
                      </c:pt>
                      <c:pt idx="19">
                        <c:v>1248533.01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241-44E0-8125-A2284203C2E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DATA!$K$1</c15:sqref>
                        </c15:formulaRef>
                      </c:ext>
                    </c:extLst>
                    <c:strCache>
                      <c:ptCount val="1"/>
                      <c:pt idx="0">
                        <c:v>REVENUE RECEIPT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8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DATA!$K$2:$K$21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12.29567595057522</c:v>
                      </c:pt>
                      <c:pt idx="1">
                        <c:v>12.765224183273899</c:v>
                      </c:pt>
                      <c:pt idx="2">
                        <c:v>12.051307437409889</c:v>
                      </c:pt>
                      <c:pt idx="3">
                        <c:v>12.193916269421289</c:v>
                      </c:pt>
                      <c:pt idx="4">
                        <c:v>11.336360050374369</c:v>
                      </c:pt>
                      <c:pt idx="5">
                        <c:v>11.188201881105444</c:v>
                      </c:pt>
                      <c:pt idx="6">
                        <c:v>10.441033195963124</c:v>
                      </c:pt>
                      <c:pt idx="7">
                        <c:v>10.704806785136533</c:v>
                      </c:pt>
                      <c:pt idx="8">
                        <c:v>10.57474884860204</c:v>
                      </c:pt>
                      <c:pt idx="9">
                        <c:v>11.305995806767955</c:v>
                      </c:pt>
                      <c:pt idx="10">
                        <c:v>12.283531124135024</c:v>
                      </c:pt>
                      <c:pt idx="11">
                        <c:v>11.909488059596175</c:v>
                      </c:pt>
                      <c:pt idx="12">
                        <c:v>11.833171210704124</c:v>
                      </c:pt>
                      <c:pt idx="13">
                        <c:v>11.779293235327229</c:v>
                      </c:pt>
                      <c:pt idx="14">
                        <c:v>11.098637783458678</c:v>
                      </c:pt>
                      <c:pt idx="15">
                        <c:v>12.649191150477407</c:v>
                      </c:pt>
                      <c:pt idx="16">
                        <c:v>12.617047374254408</c:v>
                      </c:pt>
                      <c:pt idx="17">
                        <c:v>12.77753903631503</c:v>
                      </c:pt>
                      <c:pt idx="18">
                        <c:v>10.964353378730042</c:v>
                      </c:pt>
                      <c:pt idx="19">
                        <c:v>10.000622250267938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241-44E0-8125-A2284203C2E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73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DATA!$L$2:$L$21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14.811211435827904</c:v>
                      </c:pt>
                      <c:pt idx="1">
                        <c:v>14.616806452781228</c:v>
                      </c:pt>
                      <c:pt idx="2">
                        <c:v>14.212336705928729</c:v>
                      </c:pt>
                      <c:pt idx="3">
                        <c:v>14.040336832574907</c:v>
                      </c:pt>
                      <c:pt idx="4">
                        <c:v>13.5172722814417</c:v>
                      </c:pt>
                      <c:pt idx="5">
                        <c:v>12.514520931115786</c:v>
                      </c:pt>
                      <c:pt idx="6">
                        <c:v>12.64795718629099</c:v>
                      </c:pt>
                      <c:pt idx="7">
                        <c:v>12.972848297288712</c:v>
                      </c:pt>
                      <c:pt idx="8">
                        <c:v>13.006481726640956</c:v>
                      </c:pt>
                      <c:pt idx="9">
                        <c:v>13.997554061780178</c:v>
                      </c:pt>
                      <c:pt idx="10">
                        <c:v>14.00184425584483</c:v>
                      </c:pt>
                      <c:pt idx="11">
                        <c:v>14.348442493019222</c:v>
                      </c:pt>
                      <c:pt idx="12">
                        <c:v>14.246012326375018</c:v>
                      </c:pt>
                      <c:pt idx="13">
                        <c:v>13.994470125915534</c:v>
                      </c:pt>
                      <c:pt idx="14">
                        <c:v>12.881714732708582</c:v>
                      </c:pt>
                      <c:pt idx="15">
                        <c:v>15.99617837410735</c:v>
                      </c:pt>
                      <c:pt idx="16">
                        <c:v>15.812328599592185</c:v>
                      </c:pt>
                      <c:pt idx="17">
                        <c:v>13.665763496770289</c:v>
                      </c:pt>
                      <c:pt idx="18">
                        <c:v>12.562084961860414</c:v>
                      </c:pt>
                      <c:pt idx="19">
                        <c:v>12.488319391731581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241-44E0-8125-A2284203C2E8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DATA!$N$1</c15:sqref>
                        </c15:formulaRef>
                      </c:ext>
                    </c:extLst>
                    <c:strCache>
                      <c:ptCount val="1"/>
                      <c:pt idx="0">
                        <c:v>TOTAL EXPENDITURE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56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shade val="56000"/>
                      </a:schemeClr>
                    </a:solidFill>
                    <a:ln w="9525">
                      <a:solidFill>
                        <a:schemeClr val="accent4">
                          <a:shade val="56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DATA!$N$2:$N$21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15.698794961822319</c:v>
                      </c:pt>
                      <c:pt idx="1">
                        <c:v>15.495566646854314</c:v>
                      </c:pt>
                      <c:pt idx="2">
                        <c:v>15.564241124926259</c:v>
                      </c:pt>
                      <c:pt idx="3">
                        <c:v>15.373185968045428</c:v>
                      </c:pt>
                      <c:pt idx="4">
                        <c:v>14.792071138922234</c:v>
                      </c:pt>
                      <c:pt idx="5">
                        <c:v>14.003863583934391</c:v>
                      </c:pt>
                      <c:pt idx="6">
                        <c:v>13.980600573748706</c:v>
                      </c:pt>
                      <c:pt idx="7">
                        <c:v>14.364858735960301</c:v>
                      </c:pt>
                      <c:pt idx="8">
                        <c:v>14.244759082748818</c:v>
                      </c:pt>
                      <c:pt idx="9">
                        <c:v>14.972589279330064</c:v>
                      </c:pt>
                      <c:pt idx="10">
                        <c:v>15.486254372180497</c:v>
                      </c:pt>
                      <c:pt idx="11">
                        <c:v>16.12612272053709</c:v>
                      </c:pt>
                      <c:pt idx="12">
                        <c:v>15.712607562732019</c:v>
                      </c:pt>
                      <c:pt idx="13">
                        <c:v>15.231766639699284</c:v>
                      </c:pt>
                      <c:pt idx="14">
                        <c:v>14.07061967577885</c:v>
                      </c:pt>
                      <c:pt idx="15">
                        <c:v>17.996655513670827</c:v>
                      </c:pt>
                      <c:pt idx="16">
                        <c:v>17.65620719485646</c:v>
                      </c:pt>
                      <c:pt idx="17">
                        <c:v>15.281912484895313</c:v>
                      </c:pt>
                      <c:pt idx="18">
                        <c:v>14.048837897613007</c:v>
                      </c:pt>
                      <c:pt idx="19">
                        <c:v>13.920942306523399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241-44E0-8125-A2284203C2E8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DATA!$O$1</c15:sqref>
                        </c15:formulaRef>
                      </c:ext>
                    </c:extLst>
                    <c:strCache>
                      <c:ptCount val="1"/>
                      <c:pt idx="0">
                        <c:v>REVENUE DEFICIT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47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shade val="47000"/>
                      </a:schemeClr>
                    </a:solidFill>
                    <a:ln w="9525">
                      <a:solidFill>
                        <a:schemeClr val="accent4">
                          <a:shade val="47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DATA!$O$2:$O$21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2.515607838673096</c:v>
                      </c:pt>
                      <c:pt idx="1">
                        <c:v>1.8515822695073292</c:v>
                      </c:pt>
                      <c:pt idx="2">
                        <c:v>2.1610235588361113</c:v>
                      </c:pt>
                      <c:pt idx="3">
                        <c:v>1.8464205631536206</c:v>
                      </c:pt>
                      <c:pt idx="4">
                        <c:v>2.1809078891981026</c:v>
                      </c:pt>
                      <c:pt idx="5">
                        <c:v>1.3263190500103419</c:v>
                      </c:pt>
                      <c:pt idx="6">
                        <c:v>2.2069239903278661</c:v>
                      </c:pt>
                      <c:pt idx="7">
                        <c:v>2.2680415121521755</c:v>
                      </c:pt>
                      <c:pt idx="8">
                        <c:v>2.4317328780389156</c:v>
                      </c:pt>
                      <c:pt idx="9">
                        <c:v>2.6915582550122257</c:v>
                      </c:pt>
                      <c:pt idx="10">
                        <c:v>1.7183131317098068</c:v>
                      </c:pt>
                      <c:pt idx="11">
                        <c:v>2.4389544334230497</c:v>
                      </c:pt>
                      <c:pt idx="12">
                        <c:v>2.4128411156708931</c:v>
                      </c:pt>
                      <c:pt idx="13">
                        <c:v>2.2151768905883067</c:v>
                      </c:pt>
                      <c:pt idx="14">
                        <c:v>1.7830769492499046</c:v>
                      </c:pt>
                      <c:pt idx="15">
                        <c:v>3.3469872236299434</c:v>
                      </c:pt>
                      <c:pt idx="16">
                        <c:v>3.1952812253377747</c:v>
                      </c:pt>
                      <c:pt idx="17">
                        <c:v>0.88822446045525916</c:v>
                      </c:pt>
                      <c:pt idx="18">
                        <c:v>1.597731583130372</c:v>
                      </c:pt>
                      <c:pt idx="19">
                        <c:v>2.4876971414636446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241-44E0-8125-A2284203C2E8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DATA!$P$1</c15:sqref>
                        </c15:formulaRef>
                      </c:ext>
                    </c:extLst>
                    <c:strCache>
                      <c:ptCount val="1"/>
                      <c:pt idx="0">
                        <c:v>FISCAL DEFICIT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38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shade val="38000"/>
                      </a:schemeClr>
                    </a:solidFill>
                    <a:ln w="9525">
                      <a:solidFill>
                        <a:schemeClr val="accent4">
                          <a:shade val="38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DATA!$A$2:$A$21</c15:sqref>
                        </c15:formulaRef>
                      </c:ext>
                    </c:extLst>
                    <c:strCache>
                      <c:ptCount val="20"/>
                      <c:pt idx="0">
                        <c:v>2005-2006</c:v>
                      </c:pt>
                      <c:pt idx="1">
                        <c:v>2006-2007</c:v>
                      </c:pt>
                      <c:pt idx="2">
                        <c:v>2007-2008</c:v>
                      </c:pt>
                      <c:pt idx="3">
                        <c:v>2008-2009</c:v>
                      </c:pt>
                      <c:pt idx="4">
                        <c:v>2009-2010</c:v>
                      </c:pt>
                      <c:pt idx="5">
                        <c:v>2010-2011</c:v>
                      </c:pt>
                      <c:pt idx="6">
                        <c:v>2011-2012</c:v>
                      </c:pt>
                      <c:pt idx="7">
                        <c:v>2012-2013</c:v>
                      </c:pt>
                      <c:pt idx="8">
                        <c:v>2013-2014</c:v>
                      </c:pt>
                      <c:pt idx="9">
                        <c:v>2014-2015</c:v>
                      </c:pt>
                      <c:pt idx="10">
                        <c:v>2015-2016</c:v>
                      </c:pt>
                      <c:pt idx="11">
                        <c:v>2016-2017</c:v>
                      </c:pt>
                      <c:pt idx="12">
                        <c:v>2017-2018</c:v>
                      </c:pt>
                      <c:pt idx="13">
                        <c:v>2018-2019</c:v>
                      </c:pt>
                      <c:pt idx="14">
                        <c:v>2019-2020</c:v>
                      </c:pt>
                      <c:pt idx="15">
                        <c:v>2020-2021</c:v>
                      </c:pt>
                      <c:pt idx="16">
                        <c:v>2021-2022</c:v>
                      </c:pt>
                      <c:pt idx="17">
                        <c:v>2022-2023</c:v>
                      </c:pt>
                      <c:pt idx="18">
                        <c:v>2023-2024</c:v>
                      </c:pt>
                      <c:pt idx="19">
                        <c:v>2024-2025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DATA!$P$2:$P$21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3.3617971689232093</c:v>
                      </c:pt>
                      <c:pt idx="1">
                        <c:v>2.6825780353539592</c:v>
                      </c:pt>
                      <c:pt idx="2">
                        <c:v>3.4830263693703385</c:v>
                      </c:pt>
                      <c:pt idx="3">
                        <c:v>3.1570082044177252</c:v>
                      </c:pt>
                      <c:pt idx="4">
                        <c:v>3.4177457839907035</c:v>
                      </c:pt>
                      <c:pt idx="5">
                        <c:v>2.7908130313465827</c:v>
                      </c:pt>
                      <c:pt idx="6">
                        <c:v>3.5200781831225063</c:v>
                      </c:pt>
                      <c:pt idx="7">
                        <c:v>3.6386119283165943</c:v>
                      </c:pt>
                      <c:pt idx="8">
                        <c:v>3.6435738673568299</c:v>
                      </c:pt>
                      <c:pt idx="9">
                        <c:v>3.6369562008884548</c:v>
                      </c:pt>
                      <c:pt idx="10">
                        <c:v>3.1705680781672942</c:v>
                      </c:pt>
                      <c:pt idx="11">
                        <c:v>4.1658397470791622</c:v>
                      </c:pt>
                      <c:pt idx="12">
                        <c:v>3.8252364713172367</c:v>
                      </c:pt>
                      <c:pt idx="13">
                        <c:v>3.4198646637681742</c:v>
                      </c:pt>
                      <c:pt idx="14">
                        <c:v>2.9322751326265926</c:v>
                      </c:pt>
                      <c:pt idx="15">
                        <c:v>4.5616949865320358</c:v>
                      </c:pt>
                      <c:pt idx="16">
                        <c:v>4.0354640847464038</c:v>
                      </c:pt>
                      <c:pt idx="17">
                        <c:v>2.4601619398135455</c:v>
                      </c:pt>
                      <c:pt idx="18">
                        <c:v>3.0173426221808834</c:v>
                      </c:pt>
                      <c:pt idx="19">
                        <c:v>3.8643864129791807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241-44E0-8125-A2284203C2E8}"/>
                  </c:ext>
                </c:extLst>
              </c15:ser>
            </c15:filteredLineSeries>
          </c:ext>
        </c:extLst>
      </c:lineChart>
      <c:catAx>
        <c:axId val="50726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7464523573017442"/>
              <c:y val="0.834128704852623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7254624"/>
        <c:crosses val="autoZero"/>
        <c:auto val="1"/>
        <c:lblAlgn val="ctr"/>
        <c:lblOffset val="100"/>
        <c:noMultiLvlLbl val="0"/>
      </c:catAx>
      <c:valAx>
        <c:axId val="5072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CAPITAL</a:t>
                </a:r>
                <a:r>
                  <a:rPr lang="en-IN" sz="1000" b="1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EXPENDITURE </a:t>
                </a:r>
                <a:r>
                  <a:rPr lang="en-IN" sz="10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RATIO</a:t>
                </a:r>
              </a:p>
            </c:rich>
          </c:tx>
          <c:layout>
            <c:manualLayout>
              <c:xMode val="edge"/>
              <c:yMode val="edge"/>
              <c:x val="1.6775623975023569E-2"/>
              <c:y val="0.17968175635674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726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Trend in Capital Expenditure as a Percentage of Total Expenditure in Kerala (2005–06 to 2024–25)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DATA!$R$1</c:f>
              <c:strCache>
                <c:ptCount val="1"/>
                <c:pt idx="0">
                  <c:v>CAPITAL EXPENDITURE AS % OF TOTAL EXPENDITURE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DATA!$A$2:$A$21</c:f>
              <c:strCache>
                <c:ptCount val="20"/>
                <c:pt idx="0">
                  <c:v>2005-2006</c:v>
                </c:pt>
                <c:pt idx="1">
                  <c:v>2006-2007</c:v>
                </c:pt>
                <c:pt idx="2">
                  <c:v>2007-2008</c:v>
                </c:pt>
                <c:pt idx="3">
                  <c:v>2008-2009</c:v>
                </c:pt>
                <c:pt idx="4">
                  <c:v>2009-2010</c:v>
                </c:pt>
                <c:pt idx="5">
                  <c:v>2010-2011</c:v>
                </c:pt>
                <c:pt idx="6">
                  <c:v>2011-2012</c:v>
                </c:pt>
                <c:pt idx="7">
                  <c:v>2012-2013</c:v>
                </c:pt>
                <c:pt idx="8">
                  <c:v>2013-2014</c:v>
                </c:pt>
                <c:pt idx="9">
                  <c:v>2014-2015</c:v>
                </c:pt>
                <c:pt idx="10">
                  <c:v>2015-2016</c:v>
                </c:pt>
                <c:pt idx="11">
                  <c:v>2016-2017</c:v>
                </c:pt>
                <c:pt idx="12">
                  <c:v>2017-2018</c:v>
                </c:pt>
                <c:pt idx="13">
                  <c:v>2018-2019</c:v>
                </c:pt>
                <c:pt idx="14">
                  <c:v>2019-2020</c:v>
                </c:pt>
                <c:pt idx="15">
                  <c:v>2020-2021</c:v>
                </c:pt>
                <c:pt idx="16">
                  <c:v>2021-2022</c:v>
                </c:pt>
                <c:pt idx="17">
                  <c:v>2022-2023</c:v>
                </c:pt>
                <c:pt idx="18">
                  <c:v>2023-2024</c:v>
                </c:pt>
                <c:pt idx="19">
                  <c:v>2024-2025</c:v>
                </c:pt>
              </c:strCache>
            </c:strRef>
          </c:cat>
          <c:val>
            <c:numRef>
              <c:f>DATA!$R$2:$R$21</c:f>
              <c:numCache>
                <c:formatCode>0.00%</c:formatCode>
                <c:ptCount val="20"/>
                <c:pt idx="0">
                  <c:v>5.6538322091148736E-2</c:v>
                </c:pt>
                <c:pt idx="1">
                  <c:v>5.6710426543289845E-2</c:v>
                </c:pt>
                <c:pt idx="2">
                  <c:v>8.685964244234462E-2</c:v>
                </c:pt>
                <c:pt idx="3">
                  <c:v>8.6699603988462021E-2</c:v>
                </c:pt>
                <c:pt idx="4">
                  <c:v>8.6181228139591948E-2</c:v>
                </c:pt>
                <c:pt idx="5">
                  <c:v>0.10635226799318592</c:v>
                </c:pt>
                <c:pt idx="6">
                  <c:v>9.5320897012107803E-2</c:v>
                </c:pt>
                <c:pt idx="7">
                  <c:v>9.6903872447203332E-2</c:v>
                </c:pt>
                <c:pt idx="8">
                  <c:v>8.6928627498339475E-2</c:v>
                </c:pt>
                <c:pt idx="9">
                  <c:v>6.5121349377821977E-2</c:v>
                </c:pt>
                <c:pt idx="10">
                  <c:v>9.5853398805217774E-2</c:v>
                </c:pt>
                <c:pt idx="11">
                  <c:v>0.11023605973517366</c:v>
                </c:pt>
                <c:pt idx="12">
                  <c:v>9.3338755550386926E-2</c:v>
                </c:pt>
                <c:pt idx="13">
                  <c:v>8.123132024350499E-2</c:v>
                </c:pt>
                <c:pt idx="14">
                  <c:v>8.449556383908581E-2</c:v>
                </c:pt>
                <c:pt idx="15">
                  <c:v>0.11115827260480994</c:v>
                </c:pt>
                <c:pt idx="16">
                  <c:v>0.1044323152144153</c:v>
                </c:pt>
                <c:pt idx="17">
                  <c:v>0.10575567617747009</c:v>
                </c:pt>
                <c:pt idx="18">
                  <c:v>0.10582746748079434</c:v>
                </c:pt>
                <c:pt idx="19">
                  <c:v>0.1029113463188828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888-4F8B-A2DF-7FC6595CE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261344"/>
        <c:axId val="507254624"/>
        <c:extLst/>
      </c:lineChart>
      <c:catAx>
        <c:axId val="50726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5564858716347739"/>
              <c:y val="0.834128744040811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7254624"/>
        <c:crosses val="autoZero"/>
        <c:auto val="1"/>
        <c:lblAlgn val="ctr"/>
        <c:lblOffset val="100"/>
        <c:noMultiLvlLbl val="0"/>
      </c:catAx>
      <c:valAx>
        <c:axId val="5072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CAPITAL</a:t>
                </a:r>
                <a:r>
                  <a:rPr lang="en-IN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EXPENDITURE %</a:t>
                </a:r>
                <a:endParaRPr lang="en-IN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2554114856456022E-2"/>
              <c:y val="0.176074102734110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I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726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Growth</a:t>
            </a:r>
            <a:r>
              <a:rPr lang="en-IN" b="1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Trends i</a:t>
            </a:r>
            <a:r>
              <a:rPr lang="en-IN" b="1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 Own Tax Revenue and Revenue Receipt in Kerala (2006–07 to 2024–25)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GROWTH!$C$1</c:f>
              <c:strCache>
                <c:ptCount val="1"/>
                <c:pt idx="0">
                  <c:v>OWN TAX REVENUE GROWTH%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GROWTH!$A$2:$A$21</c15:sqref>
                  </c15:fullRef>
                </c:ext>
              </c:extLst>
              <c:f>GROWTH!$A$3:$A$21</c:f>
              <c:strCache>
                <c:ptCount val="19"/>
                <c:pt idx="0">
                  <c:v>2006-2007</c:v>
                </c:pt>
                <c:pt idx="1">
                  <c:v>2007-2008</c:v>
                </c:pt>
                <c:pt idx="2">
                  <c:v>2008-2009</c:v>
                </c:pt>
                <c:pt idx="3">
                  <c:v>2009-2010</c:v>
                </c:pt>
                <c:pt idx="4">
                  <c:v>2010-2011</c:v>
                </c:pt>
                <c:pt idx="5">
                  <c:v>2011-2012</c:v>
                </c:pt>
                <c:pt idx="6">
                  <c:v>2012-2013</c:v>
                </c:pt>
                <c:pt idx="7">
                  <c:v>2013-2014</c:v>
                </c:pt>
                <c:pt idx="8">
                  <c:v>2014-2015</c:v>
                </c:pt>
                <c:pt idx="9">
                  <c:v>2015-2016</c:v>
                </c:pt>
                <c:pt idx="10">
                  <c:v>2016-2017</c:v>
                </c:pt>
                <c:pt idx="11">
                  <c:v>2017-2018</c:v>
                </c:pt>
                <c:pt idx="12">
                  <c:v>2018-2019</c:v>
                </c:pt>
                <c:pt idx="13">
                  <c:v>2019-2020</c:v>
                </c:pt>
                <c:pt idx="14">
                  <c:v>2020-2021</c:v>
                </c:pt>
                <c:pt idx="15">
                  <c:v>2021-2022</c:v>
                </c:pt>
                <c:pt idx="16">
                  <c:v>2022-2023</c:v>
                </c:pt>
                <c:pt idx="17">
                  <c:v>2023-2024</c:v>
                </c:pt>
                <c:pt idx="18">
                  <c:v>2024-2025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GROWTH!$C$2:$C$21</c15:sqref>
                  </c15:fullRef>
                </c:ext>
              </c:extLst>
              <c:f>GROWTH!$C$3:$C$21</c:f>
              <c:numCache>
                <c:formatCode>0.00%</c:formatCode>
                <c:ptCount val="19"/>
                <c:pt idx="0">
                  <c:v>0.22108993787092371</c:v>
                </c:pt>
                <c:pt idx="1">
                  <c:v>0.14462870818685938</c:v>
                </c:pt>
                <c:pt idx="2">
                  <c:v>0.16981772557511729</c:v>
                </c:pt>
                <c:pt idx="3">
                  <c:v>0.10224024995340891</c:v>
                </c:pt>
                <c:pt idx="4">
                  <c:v>0.23243491354903417</c:v>
                </c:pt>
                <c:pt idx="5">
                  <c:v>0.18400548023657459</c:v>
                </c:pt>
                <c:pt idx="6">
                  <c:v>0.16944973676638705</c:v>
                </c:pt>
                <c:pt idx="7">
                  <c:v>6.3784116627505549E-2</c:v>
                </c:pt>
                <c:pt idx="8">
                  <c:v>0.10118699722644335</c:v>
                </c:pt>
                <c:pt idx="9">
                  <c:v>0.10679486269779327</c:v>
                </c:pt>
                <c:pt idx="10">
                  <c:v>8.1580145223187905E-2</c:v>
                </c:pt>
                <c:pt idx="11">
                  <c:v>0.10155518325660011</c:v>
                </c:pt>
                <c:pt idx="12">
                  <c:v>9.0067264878030573E-2</c:v>
                </c:pt>
                <c:pt idx="13">
                  <c:v>-6.3375595577767029E-3</c:v>
                </c:pt>
                <c:pt idx="14">
                  <c:v>-5.2904091437855488E-2</c:v>
                </c:pt>
                <c:pt idx="15">
                  <c:v>0.22407662139399978</c:v>
                </c:pt>
                <c:pt idx="16">
                  <c:v>0.23358790768405915</c:v>
                </c:pt>
                <c:pt idx="17">
                  <c:v>3.2804090030924667E-2</c:v>
                </c:pt>
                <c:pt idx="18">
                  <c:v>3.1120958021639229E-2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7-4E41-BE1C-2237D78C0B6D}"/>
            </c:ext>
          </c:extLst>
        </c:ser>
        <c:ser>
          <c:idx val="3"/>
          <c:order val="3"/>
          <c:tx>
            <c:strRef>
              <c:f>GROWTH!$E$1</c:f>
              <c:strCache>
                <c:ptCount val="1"/>
                <c:pt idx="0">
                  <c:v>REVENUE RECEIPT GROWTH%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GROWTH!$A$2:$A$21</c15:sqref>
                  </c15:fullRef>
                </c:ext>
              </c:extLst>
              <c:f>GROWTH!$A$3:$A$21</c:f>
              <c:strCache>
                <c:ptCount val="19"/>
                <c:pt idx="0">
                  <c:v>2006-2007</c:v>
                </c:pt>
                <c:pt idx="1">
                  <c:v>2007-2008</c:v>
                </c:pt>
                <c:pt idx="2">
                  <c:v>2008-2009</c:v>
                </c:pt>
                <c:pt idx="3">
                  <c:v>2009-2010</c:v>
                </c:pt>
                <c:pt idx="4">
                  <c:v>2010-2011</c:v>
                </c:pt>
                <c:pt idx="5">
                  <c:v>2011-2012</c:v>
                </c:pt>
                <c:pt idx="6">
                  <c:v>2012-2013</c:v>
                </c:pt>
                <c:pt idx="7">
                  <c:v>2013-2014</c:v>
                </c:pt>
                <c:pt idx="8">
                  <c:v>2014-2015</c:v>
                </c:pt>
                <c:pt idx="9">
                  <c:v>2015-2016</c:v>
                </c:pt>
                <c:pt idx="10">
                  <c:v>2016-2017</c:v>
                </c:pt>
                <c:pt idx="11">
                  <c:v>2017-2018</c:v>
                </c:pt>
                <c:pt idx="12">
                  <c:v>2018-2019</c:v>
                </c:pt>
                <c:pt idx="13">
                  <c:v>2019-2020</c:v>
                </c:pt>
                <c:pt idx="14">
                  <c:v>2020-2021</c:v>
                </c:pt>
                <c:pt idx="15">
                  <c:v>2021-2022</c:v>
                </c:pt>
                <c:pt idx="16">
                  <c:v>2022-2023</c:v>
                </c:pt>
                <c:pt idx="17">
                  <c:v>2023-2024</c:v>
                </c:pt>
                <c:pt idx="18">
                  <c:v>2024-2025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GROWTH!$E$2:$E$21</c15:sqref>
                  </c15:fullRef>
                </c:ext>
              </c:extLst>
              <c:f>GROWTH!$E$3:$E$21</c:f>
              <c:numCache>
                <c:formatCode>0.00%</c:formatCode>
                <c:ptCount val="19"/>
                <c:pt idx="0">
                  <c:v>0.18909387153045656</c:v>
                </c:pt>
                <c:pt idx="1">
                  <c:v>0.16056694427001841</c:v>
                </c:pt>
                <c:pt idx="2">
                  <c:v>0.16134097131776073</c:v>
                </c:pt>
                <c:pt idx="3">
                  <c:v>6.5160259103841489E-2</c:v>
                </c:pt>
                <c:pt idx="4">
                  <c:v>0.18696523091300446</c:v>
                </c:pt>
                <c:pt idx="5">
                  <c:v>0.22649870365380861</c:v>
                </c:pt>
                <c:pt idx="6">
                  <c:v>0.16119158040071171</c:v>
                </c:pt>
                <c:pt idx="7">
                  <c:v>0.11418072374596469</c:v>
                </c:pt>
                <c:pt idx="8">
                  <c:v>0.17840739989108714</c:v>
                </c:pt>
                <c:pt idx="9">
                  <c:v>0.19123554994463379</c:v>
                </c:pt>
                <c:pt idx="10">
                  <c:v>9.530358528847066E-2</c:v>
                </c:pt>
                <c:pt idx="11">
                  <c:v>9.7979784086382346E-2</c:v>
                </c:pt>
                <c:pt idx="12">
                  <c:v>0.11845715991324517</c:v>
                </c:pt>
                <c:pt idx="13">
                  <c:v>-2.8321738307267308E-2</c:v>
                </c:pt>
                <c:pt idx="14">
                  <c:v>8.1930585060604855E-2</c:v>
                </c:pt>
                <c:pt idx="15">
                  <c:v>0.19487838316405073</c:v>
                </c:pt>
                <c:pt idx="16">
                  <c:v>0.13789760720656943</c:v>
                </c:pt>
                <c:pt idx="17">
                  <c:v>-6.2072116972996354E-2</c:v>
                </c:pt>
                <c:pt idx="18">
                  <c:v>3.0117406635196994E-3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7-4E41-BE1C-2237D78C0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4061088"/>
        <c:axId val="12940620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GROWTH!$B$1</c15:sqref>
                        </c15:formulaRef>
                      </c:ext>
                    </c:extLst>
                    <c:strCache>
                      <c:ptCount val="1"/>
                      <c:pt idx="0">
                        <c:v>OWN 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GROWTH!$B$2:$B$21</c15:sqref>
                        </c15:fullRef>
                        <c15:formulaRef>
                          <c15:sqref>GROWTH!$B$3:$B$21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11941.82</c:v>
                      </c:pt>
                      <c:pt idx="1">
                        <c:v>13668.95</c:v>
                      </c:pt>
                      <c:pt idx="2">
                        <c:v>15990.18</c:v>
                      </c:pt>
                      <c:pt idx="3">
                        <c:v>17625.02</c:v>
                      </c:pt>
                      <c:pt idx="4">
                        <c:v>21721.69</c:v>
                      </c:pt>
                      <c:pt idx="5" formatCode="0.0">
                        <c:v>25718.6</c:v>
                      </c:pt>
                      <c:pt idx="6">
                        <c:v>30076.61</c:v>
                      </c:pt>
                      <c:pt idx="7">
                        <c:v>31995.02</c:v>
                      </c:pt>
                      <c:pt idx="8" formatCode="0.0">
                        <c:v>35232.5</c:v>
                      </c:pt>
                      <c:pt idx="9">
                        <c:v>38995.15</c:v>
                      </c:pt>
                      <c:pt idx="10">
                        <c:v>42176.38</c:v>
                      </c:pt>
                      <c:pt idx="11">
                        <c:v>46459.61</c:v>
                      </c:pt>
                      <c:pt idx="12" formatCode="0.0">
                        <c:v>50644.1</c:v>
                      </c:pt>
                      <c:pt idx="13">
                        <c:v>50323.14</c:v>
                      </c:pt>
                      <c:pt idx="14">
                        <c:v>47660.84</c:v>
                      </c:pt>
                      <c:pt idx="15">
                        <c:v>58340.52</c:v>
                      </c:pt>
                      <c:pt idx="16">
                        <c:v>71968.160000000003</c:v>
                      </c:pt>
                      <c:pt idx="17">
                        <c:v>74329.009999999995</c:v>
                      </c:pt>
                      <c:pt idx="18" formatCode="General">
                        <c:v>76642.2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E87-4E41-BE1C-2237D78C0B6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GROWTH!$D$1</c15:sqref>
                        </c15:formulaRef>
                      </c:ext>
                    </c:extLst>
                    <c:strCache>
                      <c:ptCount val="1"/>
                      <c:pt idx="0">
                        <c:v>REVENUE RECEIPT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GROWTH!$D$2:$D$21</c15:sqref>
                        </c15:fullRef>
                        <c15:formulaRef>
                          <c15:sqref>GROWTH!$D$3:$D$21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18186.62</c:v>
                      </c:pt>
                      <c:pt idx="1">
                        <c:v>21106.79</c:v>
                      </c:pt>
                      <c:pt idx="2">
                        <c:v>24512.18</c:v>
                      </c:pt>
                      <c:pt idx="3">
                        <c:v>26109.4</c:v>
                      </c:pt>
                      <c:pt idx="4">
                        <c:v>30990.95</c:v>
                      </c:pt>
                      <c:pt idx="5">
                        <c:v>38010.36</c:v>
                      </c:pt>
                      <c:pt idx="6">
                        <c:v>44137.31</c:v>
                      </c:pt>
                      <c:pt idx="7">
                        <c:v>49176.94</c:v>
                      </c:pt>
                      <c:pt idx="8">
                        <c:v>57950.47</c:v>
                      </c:pt>
                      <c:pt idx="9">
                        <c:v>69032.66</c:v>
                      </c:pt>
                      <c:pt idx="10">
                        <c:v>75611.72</c:v>
                      </c:pt>
                      <c:pt idx="11">
                        <c:v>83020.14</c:v>
                      </c:pt>
                      <c:pt idx="12">
                        <c:v>92854.47</c:v>
                      </c:pt>
                      <c:pt idx="13">
                        <c:v>90224.67</c:v>
                      </c:pt>
                      <c:pt idx="14">
                        <c:v>97616.83</c:v>
                      </c:pt>
                      <c:pt idx="15">
                        <c:v>116640.24</c:v>
                      </c:pt>
                      <c:pt idx="16">
                        <c:v>132724.65</c:v>
                      </c:pt>
                      <c:pt idx="17">
                        <c:v>124486.15</c:v>
                      </c:pt>
                      <c:pt idx="18" formatCode="General">
                        <c:v>124861.07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E87-4E41-BE1C-2237D78C0B6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GROWTH!$F$1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GROWTH!$F$2:$F$21</c15:sqref>
                        </c15:fullRef>
                        <c15:formulaRef>
                          <c15:sqref>GROWTH!$F$3:$F$21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20824.57</c:v>
                      </c:pt>
                      <c:pt idx="1">
                        <c:v>24891.64</c:v>
                      </c:pt>
                      <c:pt idx="2">
                        <c:v>28223.85</c:v>
                      </c:pt>
                      <c:pt idx="3">
                        <c:v>31132.38</c:v>
                      </c:pt>
                      <c:pt idx="4">
                        <c:v>34664.81</c:v>
                      </c:pt>
                      <c:pt idx="5">
                        <c:v>46044.62</c:v>
                      </c:pt>
                      <c:pt idx="6">
                        <c:v>53488.74</c:v>
                      </c:pt>
                      <c:pt idx="7">
                        <c:v>60485.5</c:v>
                      </c:pt>
                      <c:pt idx="8">
                        <c:v>71746.429999999993</c:v>
                      </c:pt>
                      <c:pt idx="9">
                        <c:v>78689.47</c:v>
                      </c:pt>
                      <c:pt idx="10">
                        <c:v>91096.31</c:v>
                      </c:pt>
                      <c:pt idx="11">
                        <c:v>99948.35</c:v>
                      </c:pt>
                      <c:pt idx="12">
                        <c:v>110316.39</c:v>
                      </c:pt>
                      <c:pt idx="13">
                        <c:v>104719.92</c:v>
                      </c:pt>
                      <c:pt idx="14">
                        <c:v>123446.33</c:v>
                      </c:pt>
                      <c:pt idx="15">
                        <c:v>146179.51</c:v>
                      </c:pt>
                      <c:pt idx="16">
                        <c:v>141950.94</c:v>
                      </c:pt>
                      <c:pt idx="17">
                        <c:v>142626.34</c:v>
                      </c:pt>
                      <c:pt idx="18" formatCode="General">
                        <c:v>155920.79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E87-4E41-BE1C-2237D78C0B6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GROWTH!$G$1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 GROWTH%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GROWTH!$G$2:$G$21</c15:sqref>
                        </c15:fullRef>
                        <c15:formulaRef>
                          <c15:sqref>GROWTH!$G$3:$G$21</c15:sqref>
                        </c15:formulaRef>
                      </c:ext>
                    </c:extLst>
                    <c:numCache>
                      <c:formatCode>0.00%</c:formatCode>
                      <c:ptCount val="19"/>
                      <c:pt idx="0">
                        <c:v>0.13032157702248953</c:v>
                      </c:pt>
                      <c:pt idx="1">
                        <c:v>0.19530151162785112</c:v>
                      </c:pt>
                      <c:pt idx="2">
                        <c:v>0.13386864023423123</c:v>
                      </c:pt>
                      <c:pt idx="3">
                        <c:v>0.10305220584718253</c:v>
                      </c:pt>
                      <c:pt idx="4">
                        <c:v>0.11346482344106029</c:v>
                      </c:pt>
                      <c:pt idx="5">
                        <c:v>0.3282813319905693</c:v>
                      </c:pt>
                      <c:pt idx="6">
                        <c:v>0.16167187393445737</c:v>
                      </c:pt>
                      <c:pt idx="7">
                        <c:v>0.13080809157217019</c:v>
                      </c:pt>
                      <c:pt idx="8">
                        <c:v>0.18617569500128117</c:v>
                      </c:pt>
                      <c:pt idx="9">
                        <c:v>9.6771923007179711E-2</c:v>
                      </c:pt>
                      <c:pt idx="10">
                        <c:v>0.15766836401363482</c:v>
                      </c:pt>
                      <c:pt idx="11">
                        <c:v>9.7172322347634149E-2</c:v>
                      </c:pt>
                      <c:pt idx="12">
                        <c:v>0.10373397859994681</c:v>
                      </c:pt>
                      <c:pt idx="13">
                        <c:v>-5.073108356790864E-2</c:v>
                      </c:pt>
                      <c:pt idx="14">
                        <c:v>0.17882376151547866</c:v>
                      </c:pt>
                      <c:pt idx="15">
                        <c:v>0.1841543608465315</c:v>
                      </c:pt>
                      <c:pt idx="16">
                        <c:v>-2.8927241581258596E-2</c:v>
                      </c:pt>
                      <c:pt idx="17">
                        <c:v>4.7579818774007004E-3</c:v>
                      </c:pt>
                      <c:pt idx="18">
                        <c:v>9.3211744759067724E-2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E87-4E41-BE1C-2237D78C0B6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GROWTH!$H$1</c15:sqref>
                        </c15:formulaRef>
                      </c:ext>
                    </c:extLst>
                    <c:strCache>
                      <c:ptCount val="1"/>
                      <c:pt idx="0">
                        <c:v>GSDP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GROWTH!$H$2:$H$21</c15:sqref>
                        </c15:fullRef>
                        <c15:formulaRef>
                          <c15:sqref>GROWTH!$H$3:$H$21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142470.04</c:v>
                      </c:pt>
                      <c:pt idx="1">
                        <c:v>175141.08</c:v>
                      </c:pt>
                      <c:pt idx="2">
                        <c:v>201019.75</c:v>
                      </c:pt>
                      <c:pt idx="3">
                        <c:v>230315.55</c:v>
                      </c:pt>
                      <c:pt idx="4">
                        <c:v>276996.7</c:v>
                      </c:pt>
                      <c:pt idx="5">
                        <c:v>364047.88</c:v>
                      </c:pt>
                      <c:pt idx="6">
                        <c:v>412313</c:v>
                      </c:pt>
                      <c:pt idx="7">
                        <c:v>465041.21</c:v>
                      </c:pt>
                      <c:pt idx="8">
                        <c:v>512564.05</c:v>
                      </c:pt>
                      <c:pt idx="9">
                        <c:v>561993.61</c:v>
                      </c:pt>
                      <c:pt idx="10">
                        <c:v>634886.40000000002</c:v>
                      </c:pt>
                      <c:pt idx="11">
                        <c:v>701588.26</c:v>
                      </c:pt>
                      <c:pt idx="12">
                        <c:v>788285.58</c:v>
                      </c:pt>
                      <c:pt idx="13">
                        <c:v>812934.63</c:v>
                      </c:pt>
                      <c:pt idx="14">
                        <c:v>771723.89</c:v>
                      </c:pt>
                      <c:pt idx="15">
                        <c:v>924465.42</c:v>
                      </c:pt>
                      <c:pt idx="16">
                        <c:v>1038734.06</c:v>
                      </c:pt>
                      <c:pt idx="17">
                        <c:v>1135371.56</c:v>
                      </c:pt>
                      <c:pt idx="18">
                        <c:v>1248533.01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E87-4E41-BE1C-2237D78C0B6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GROWTH!$I$1</c15:sqref>
                        </c15:formulaRef>
                      </c:ext>
                    </c:extLst>
                    <c:strCache>
                      <c:ptCount val="1"/>
                      <c:pt idx="0">
                        <c:v>GSDP GROWTH%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GROWTH!$I$2:$I$21</c15:sqref>
                        </c15:fullRef>
                        <c15:formulaRef>
                          <c15:sqref>GROWTH!$I$3:$I$21</c15:sqref>
                        </c15:formulaRef>
                      </c:ext>
                    </c:extLst>
                    <c:numCache>
                      <c:formatCode>0.00%</c:formatCode>
                      <c:ptCount val="19"/>
                      <c:pt idx="0">
                        <c:v>0.14535496668446568</c:v>
                      </c:pt>
                      <c:pt idx="1">
                        <c:v>0.22931866938480525</c:v>
                      </c:pt>
                      <c:pt idx="2">
                        <c:v>0.14775899520546529</c:v>
                      </c:pt>
                      <c:pt idx="3">
                        <c:v>0.1457359289323561</c:v>
                      </c:pt>
                      <c:pt idx="4">
                        <c:v>0.202683448859619</c:v>
                      </c:pt>
                      <c:pt idx="5">
                        <c:v>0.31426793171182182</c:v>
                      </c:pt>
                      <c:pt idx="6">
                        <c:v>0.1325790442729676</c:v>
                      </c:pt>
                      <c:pt idx="7">
                        <c:v>0.12788393768811562</c:v>
                      </c:pt>
                      <c:pt idx="8">
                        <c:v>0.10219059940945871</c:v>
                      </c:pt>
                      <c:pt idx="9">
                        <c:v>9.6435869819586448E-2</c:v>
                      </c:pt>
                      <c:pt idx="10">
                        <c:v>0.12970394805734542</c:v>
                      </c:pt>
                      <c:pt idx="11">
                        <c:v>0.10506109439420971</c:v>
                      </c:pt>
                      <c:pt idx="12">
                        <c:v>0.12357293435896426</c:v>
                      </c:pt>
                      <c:pt idx="13">
                        <c:v>3.1269188001637742E-2</c:v>
                      </c:pt>
                      <c:pt idx="14">
                        <c:v>-5.0693793177441576E-2</c:v>
                      </c:pt>
                      <c:pt idx="15">
                        <c:v>0.19792251086071733</c:v>
                      </c:pt>
                      <c:pt idx="16">
                        <c:v>0.12360509925833679</c:v>
                      </c:pt>
                      <c:pt idx="17">
                        <c:v>9.3033918614356392E-2</c:v>
                      </c:pt>
                      <c:pt idx="18">
                        <c:v>9.9669089826417659E-2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E87-4E41-BE1C-2237D78C0B6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GROWTH!$J$1</c15:sqref>
                        </c15:formulaRef>
                      </c:ext>
                    </c:extLst>
                    <c:strCache>
                      <c:ptCount val="1"/>
                      <c:pt idx="0">
                        <c:v>CAPITAL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GROWTH!$J$2:$J$21</c15:sqref>
                        </c15:fullRef>
                        <c15:formulaRef>
                          <c15:sqref>GROWTH!$J$3:$J$21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1251.97</c:v>
                      </c:pt>
                      <c:pt idx="1">
                        <c:v>2367.7399999999998</c:v>
                      </c:pt>
                      <c:pt idx="2">
                        <c:v>2679.29</c:v>
                      </c:pt>
                      <c:pt idx="3">
                        <c:v>2936.06</c:v>
                      </c:pt>
                      <c:pt idx="4">
                        <c:v>4125.43</c:v>
                      </c:pt>
                      <c:pt idx="5">
                        <c:v>4851.46</c:v>
                      </c:pt>
                      <c:pt idx="6">
                        <c:v>5739.44</c:v>
                      </c:pt>
                      <c:pt idx="7">
                        <c:v>5758.5</c:v>
                      </c:pt>
                      <c:pt idx="8">
                        <c:v>4997.68</c:v>
                      </c:pt>
                      <c:pt idx="9">
                        <c:v>8342.2900000000009</c:v>
                      </c:pt>
                      <c:pt idx="10">
                        <c:v>11286.25</c:v>
                      </c:pt>
                      <c:pt idx="11">
                        <c:v>10289.459999999999</c:v>
                      </c:pt>
                      <c:pt idx="12">
                        <c:v>9753.43</c:v>
                      </c:pt>
                      <c:pt idx="13">
                        <c:v>9665.02</c:v>
                      </c:pt>
                      <c:pt idx="14">
                        <c:v>15438.16</c:v>
                      </c:pt>
                      <c:pt idx="15">
                        <c:v>17046.02</c:v>
                      </c:pt>
                      <c:pt idx="16">
                        <c:v>16787.490000000002</c:v>
                      </c:pt>
                      <c:pt idx="17">
                        <c:v>16880.169999999998</c:v>
                      </c:pt>
                      <c:pt idx="18" formatCode="General">
                        <c:v>17886.77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E87-4E41-BE1C-2237D78C0B6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GROWTH!$K$1</c15:sqref>
                        </c15:formulaRef>
                      </c:ext>
                    </c:extLst>
                    <c:strCache>
                      <c:ptCount val="1"/>
                      <c:pt idx="0">
                        <c:v>CAPITAL EXPENDITURE GROWTH %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GROWTH!$K$2:$K$21</c15:sqref>
                        </c15:fullRef>
                        <c15:formulaRef>
                          <c15:sqref>GROWTH!$K$3:$K$21</c15:sqref>
                        </c15:formulaRef>
                      </c:ext>
                    </c:extLst>
                    <c:numCache>
                      <c:formatCode>0.00%</c:formatCode>
                      <c:ptCount val="19"/>
                      <c:pt idx="0">
                        <c:v>0.13396916834230033</c:v>
                      </c:pt>
                      <c:pt idx="1">
                        <c:v>0.89121145075361208</c:v>
                      </c:pt>
                      <c:pt idx="2">
                        <c:v>0.13158117022983951</c:v>
                      </c:pt>
                      <c:pt idx="3">
                        <c:v>9.5835090639684387E-2</c:v>
                      </c:pt>
                      <c:pt idx="4">
                        <c:v>0.40509049542584291</c:v>
                      </c:pt>
                      <c:pt idx="5">
                        <c:v>0.17598892721485995</c:v>
                      </c:pt>
                      <c:pt idx="6">
                        <c:v>0.18303356103111218</c:v>
                      </c:pt>
                      <c:pt idx="7">
                        <c:v>3.320881479726315E-3</c:v>
                      </c:pt>
                      <c:pt idx="8">
                        <c:v>-0.13212121212121208</c:v>
                      </c:pt>
                      <c:pt idx="9">
                        <c:v>0.66923252389108556</c:v>
                      </c:pt>
                      <c:pt idx="10">
                        <c:v>0.3528959074786418</c:v>
                      </c:pt>
                      <c:pt idx="11">
                        <c:v>-8.8318972200686754E-2</c:v>
                      </c:pt>
                      <c:pt idx="12">
                        <c:v>-5.2095056494704181E-2</c:v>
                      </c:pt>
                      <c:pt idx="13">
                        <c:v>-9.0645034618590439E-3</c:v>
                      </c:pt>
                      <c:pt idx="14">
                        <c:v>0.59732313021597461</c:v>
                      </c:pt>
                      <c:pt idx="15">
                        <c:v>0.10414842183265367</c:v>
                      </c:pt>
                      <c:pt idx="16">
                        <c:v>-1.5166590206980798E-2</c:v>
                      </c:pt>
                      <c:pt idx="17">
                        <c:v>5.5207776743275289E-3</c:v>
                      </c:pt>
                      <c:pt idx="18">
                        <c:v>5.9632100861543594E-2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E87-4E41-BE1C-2237D78C0B6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GROWTH!$L$1</c15:sqref>
                        </c15:formulaRef>
                      </c:ext>
                    </c:extLst>
                    <c:strCache>
                      <c:ptCount val="1"/>
                      <c:pt idx="0">
                        <c:v>FISCAL DEFICIT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GROWTH!$L$2:$L$21</c15:sqref>
                        </c15:fullRef>
                        <c15:formulaRef>
                          <c15:sqref>GROWTH!$L$3:$L$21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3821.87</c:v>
                      </c:pt>
                      <c:pt idx="1">
                        <c:v>6100.21</c:v>
                      </c:pt>
                      <c:pt idx="2">
                        <c:v>6346.21</c:v>
                      </c:pt>
                      <c:pt idx="3">
                        <c:v>7871.6</c:v>
                      </c:pt>
                      <c:pt idx="4">
                        <c:v>7730.46</c:v>
                      </c:pt>
                      <c:pt idx="5">
                        <c:v>12814.77</c:v>
                      </c:pt>
                      <c:pt idx="6">
                        <c:v>15002.47</c:v>
                      </c:pt>
                      <c:pt idx="7">
                        <c:v>16944.12</c:v>
                      </c:pt>
                      <c:pt idx="8">
                        <c:v>18641.73</c:v>
                      </c:pt>
                      <c:pt idx="9">
                        <c:v>17818.39</c:v>
                      </c:pt>
                      <c:pt idx="10">
                        <c:v>26448.35</c:v>
                      </c:pt>
                      <c:pt idx="11">
                        <c:v>26837.41</c:v>
                      </c:pt>
                      <c:pt idx="12">
                        <c:v>26958.3</c:v>
                      </c:pt>
                      <c:pt idx="13">
                        <c:v>23837.48</c:v>
                      </c:pt>
                      <c:pt idx="14">
                        <c:v>35203.69</c:v>
                      </c:pt>
                      <c:pt idx="15">
                        <c:v>37306.47</c:v>
                      </c:pt>
                      <c:pt idx="16">
                        <c:v>25554.54</c:v>
                      </c:pt>
                      <c:pt idx="17">
                        <c:v>34258.050000000003</c:v>
                      </c:pt>
                      <c:pt idx="18">
                        <c:v>48248.14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E87-4E41-BE1C-2237D78C0B6D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GROWTH!$M$1</c15:sqref>
                        </c15:formulaRef>
                      </c:ext>
                    </c:extLst>
                    <c:strCache>
                      <c:ptCount val="1"/>
                      <c:pt idx="0">
                        <c:v>FISCAL DEFICIT GROWTH%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GROWTH!$M$2:$M$21</c15:sqref>
                        </c15:fullRef>
                        <c15:formulaRef>
                          <c15:sqref>GROWTH!$M$3:$M$21</c15:sqref>
                        </c15:formulaRef>
                      </c:ext>
                    </c:extLst>
                    <c:numCache>
                      <c:formatCode>0.00%</c:formatCode>
                      <c:ptCount val="19"/>
                      <c:pt idx="0">
                        <c:v>-8.6053107333824444E-2</c:v>
                      </c:pt>
                      <c:pt idx="1">
                        <c:v>0.59613225986231877</c:v>
                      </c:pt>
                      <c:pt idx="2">
                        <c:v>4.0326480563783872E-2</c:v>
                      </c:pt>
                      <c:pt idx="3">
                        <c:v>0.24036235800580194</c:v>
                      </c:pt>
                      <c:pt idx="4">
                        <c:v>-1.7930281010213975E-2</c:v>
                      </c:pt>
                      <c:pt idx="5">
                        <c:v>0.6576982482284367</c:v>
                      </c:pt>
                      <c:pt idx="6">
                        <c:v>0.17071707100478578</c:v>
                      </c:pt>
                      <c:pt idx="7">
                        <c:v>0.12942202184040361</c:v>
                      </c:pt>
                      <c:pt idx="8">
                        <c:v>0.10018873804009891</c:v>
                      </c:pt>
                      <c:pt idx="9">
                        <c:v>-4.4166501714164946E-2</c:v>
                      </c:pt>
                      <c:pt idx="10">
                        <c:v>0.48432883105600444</c:v>
                      </c:pt>
                      <c:pt idx="11">
                        <c:v>1.4710180408229676E-2</c:v>
                      </c:pt>
                      <c:pt idx="12">
                        <c:v>4.5045330380241392E-3</c:v>
                      </c:pt>
                      <c:pt idx="13">
                        <c:v>-0.11576471810166071</c:v>
                      </c:pt>
                      <c:pt idx="14">
                        <c:v>0.47682095590641305</c:v>
                      </c:pt>
                      <c:pt idx="15">
                        <c:v>5.9731806523691089E-2</c:v>
                      </c:pt>
                      <c:pt idx="16">
                        <c:v>-0.31501050622050275</c:v>
                      </c:pt>
                      <c:pt idx="17">
                        <c:v>0.34058566501294885</c:v>
                      </c:pt>
                      <c:pt idx="18">
                        <c:v>0.4083737982751498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E87-4E41-BE1C-2237D78C0B6D}"/>
                  </c:ext>
                </c:extLst>
              </c15:ser>
            </c15:filteredLineSeries>
          </c:ext>
        </c:extLst>
      </c:lineChart>
      <c:catAx>
        <c:axId val="129406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8096872265966756"/>
              <c:y val="0.828332604257801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4062048"/>
        <c:crosses val="autoZero"/>
        <c:auto val="1"/>
        <c:lblAlgn val="ctr"/>
        <c:lblOffset val="100"/>
        <c:noMultiLvlLbl val="0"/>
      </c:catAx>
      <c:valAx>
        <c:axId val="129406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GROWTH RATE%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406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Growth Trends in Revenue Expenditure and Capital Expenditure in Kerala (2006–07 to 2024–25)</a:t>
            </a:r>
            <a:endParaRPr lang="en-IN" b="1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GROWTH!$G$1</c:f>
              <c:strCache>
                <c:ptCount val="1"/>
                <c:pt idx="0">
                  <c:v>REVENUE EXPENDITURE GROWTH%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GROWTH!$A$2:$A$21</c15:sqref>
                  </c15:fullRef>
                </c:ext>
              </c:extLst>
              <c:f>GROWTH!$A$3:$A$21</c:f>
              <c:strCache>
                <c:ptCount val="19"/>
                <c:pt idx="0">
                  <c:v>2006-2007</c:v>
                </c:pt>
                <c:pt idx="1">
                  <c:v>2007-2008</c:v>
                </c:pt>
                <c:pt idx="2">
                  <c:v>2008-2009</c:v>
                </c:pt>
                <c:pt idx="3">
                  <c:v>2009-2010</c:v>
                </c:pt>
                <c:pt idx="4">
                  <c:v>2010-2011</c:v>
                </c:pt>
                <c:pt idx="5">
                  <c:v>2011-2012</c:v>
                </c:pt>
                <c:pt idx="6">
                  <c:v>2012-2013</c:v>
                </c:pt>
                <c:pt idx="7">
                  <c:v>2013-2014</c:v>
                </c:pt>
                <c:pt idx="8">
                  <c:v>2014-2015</c:v>
                </c:pt>
                <c:pt idx="9">
                  <c:v>2015-2016</c:v>
                </c:pt>
                <c:pt idx="10">
                  <c:v>2016-2017</c:v>
                </c:pt>
                <c:pt idx="11">
                  <c:v>2017-2018</c:v>
                </c:pt>
                <c:pt idx="12">
                  <c:v>2018-2019</c:v>
                </c:pt>
                <c:pt idx="13">
                  <c:v>2019-2020</c:v>
                </c:pt>
                <c:pt idx="14">
                  <c:v>2020-2021</c:v>
                </c:pt>
                <c:pt idx="15">
                  <c:v>2021-2022</c:v>
                </c:pt>
                <c:pt idx="16">
                  <c:v>2022-2023</c:v>
                </c:pt>
                <c:pt idx="17">
                  <c:v>2023-2024</c:v>
                </c:pt>
                <c:pt idx="18">
                  <c:v>2024-2025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GROWTH!$G$2:$G$21</c15:sqref>
                  </c15:fullRef>
                </c:ext>
              </c:extLst>
              <c:f>GROWTH!$G$3:$G$21</c:f>
              <c:numCache>
                <c:formatCode>0.00%</c:formatCode>
                <c:ptCount val="19"/>
                <c:pt idx="0">
                  <c:v>0.13032157702248953</c:v>
                </c:pt>
                <c:pt idx="1">
                  <c:v>0.19530151162785112</c:v>
                </c:pt>
                <c:pt idx="2">
                  <c:v>0.13386864023423123</c:v>
                </c:pt>
                <c:pt idx="3">
                  <c:v>0.10305220584718253</c:v>
                </c:pt>
                <c:pt idx="4">
                  <c:v>0.11346482344106029</c:v>
                </c:pt>
                <c:pt idx="5">
                  <c:v>0.3282813319905693</c:v>
                </c:pt>
                <c:pt idx="6">
                  <c:v>0.16167187393445737</c:v>
                </c:pt>
                <c:pt idx="7">
                  <c:v>0.13080809157217019</c:v>
                </c:pt>
                <c:pt idx="8">
                  <c:v>0.18617569500128117</c:v>
                </c:pt>
                <c:pt idx="9">
                  <c:v>9.6771923007179711E-2</c:v>
                </c:pt>
                <c:pt idx="10">
                  <c:v>0.15766836401363482</c:v>
                </c:pt>
                <c:pt idx="11">
                  <c:v>9.7172322347634149E-2</c:v>
                </c:pt>
                <c:pt idx="12">
                  <c:v>0.10373397859994681</c:v>
                </c:pt>
                <c:pt idx="13">
                  <c:v>-5.073108356790864E-2</c:v>
                </c:pt>
                <c:pt idx="14">
                  <c:v>0.17882376151547866</c:v>
                </c:pt>
                <c:pt idx="15">
                  <c:v>0.1841543608465315</c:v>
                </c:pt>
                <c:pt idx="16">
                  <c:v>-2.8927241581258596E-2</c:v>
                </c:pt>
                <c:pt idx="17">
                  <c:v>4.7579818774007004E-3</c:v>
                </c:pt>
                <c:pt idx="18">
                  <c:v>9.3211744759067724E-2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E4-4EDF-9D18-190A99975780}"/>
            </c:ext>
          </c:extLst>
        </c:ser>
        <c:ser>
          <c:idx val="9"/>
          <c:order val="9"/>
          <c:tx>
            <c:strRef>
              <c:f>GROWTH!$K$1</c:f>
              <c:strCache>
                <c:ptCount val="1"/>
                <c:pt idx="0">
                  <c:v>CAPITAL EXPENDITURE GROWTH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GROWTH!$A$2:$A$21</c15:sqref>
                  </c15:fullRef>
                </c:ext>
              </c:extLst>
              <c:f>GROWTH!$A$3:$A$21</c:f>
              <c:strCache>
                <c:ptCount val="19"/>
                <c:pt idx="0">
                  <c:v>2006-2007</c:v>
                </c:pt>
                <c:pt idx="1">
                  <c:v>2007-2008</c:v>
                </c:pt>
                <c:pt idx="2">
                  <c:v>2008-2009</c:v>
                </c:pt>
                <c:pt idx="3">
                  <c:v>2009-2010</c:v>
                </c:pt>
                <c:pt idx="4">
                  <c:v>2010-2011</c:v>
                </c:pt>
                <c:pt idx="5">
                  <c:v>2011-2012</c:v>
                </c:pt>
                <c:pt idx="6">
                  <c:v>2012-2013</c:v>
                </c:pt>
                <c:pt idx="7">
                  <c:v>2013-2014</c:v>
                </c:pt>
                <c:pt idx="8">
                  <c:v>2014-2015</c:v>
                </c:pt>
                <c:pt idx="9">
                  <c:v>2015-2016</c:v>
                </c:pt>
                <c:pt idx="10">
                  <c:v>2016-2017</c:v>
                </c:pt>
                <c:pt idx="11">
                  <c:v>2017-2018</c:v>
                </c:pt>
                <c:pt idx="12">
                  <c:v>2018-2019</c:v>
                </c:pt>
                <c:pt idx="13">
                  <c:v>2019-2020</c:v>
                </c:pt>
                <c:pt idx="14">
                  <c:v>2020-2021</c:v>
                </c:pt>
                <c:pt idx="15">
                  <c:v>2021-2022</c:v>
                </c:pt>
                <c:pt idx="16">
                  <c:v>2022-2023</c:v>
                </c:pt>
                <c:pt idx="17">
                  <c:v>2023-2024</c:v>
                </c:pt>
                <c:pt idx="18">
                  <c:v>2024-2025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GROWTH!$K$2:$K$21</c15:sqref>
                  </c15:fullRef>
                </c:ext>
              </c:extLst>
              <c:f>GROWTH!$K$3:$K$21</c:f>
              <c:numCache>
                <c:formatCode>0.00%</c:formatCode>
                <c:ptCount val="19"/>
                <c:pt idx="0">
                  <c:v>0.13396916834230033</c:v>
                </c:pt>
                <c:pt idx="1">
                  <c:v>0.89121145075361208</c:v>
                </c:pt>
                <c:pt idx="2">
                  <c:v>0.13158117022983951</c:v>
                </c:pt>
                <c:pt idx="3">
                  <c:v>9.5835090639684387E-2</c:v>
                </c:pt>
                <c:pt idx="4">
                  <c:v>0.40509049542584291</c:v>
                </c:pt>
                <c:pt idx="5">
                  <c:v>0.17598892721485995</c:v>
                </c:pt>
                <c:pt idx="6">
                  <c:v>0.18303356103111218</c:v>
                </c:pt>
                <c:pt idx="7">
                  <c:v>3.320881479726315E-3</c:v>
                </c:pt>
                <c:pt idx="8">
                  <c:v>-0.13212121212121208</c:v>
                </c:pt>
                <c:pt idx="9">
                  <c:v>0.66923252389108556</c:v>
                </c:pt>
                <c:pt idx="10">
                  <c:v>0.3528959074786418</c:v>
                </c:pt>
                <c:pt idx="11">
                  <c:v>-8.8318972200686754E-2</c:v>
                </c:pt>
                <c:pt idx="12">
                  <c:v>-5.2095056494704181E-2</c:v>
                </c:pt>
                <c:pt idx="13">
                  <c:v>-9.0645034618590439E-3</c:v>
                </c:pt>
                <c:pt idx="14">
                  <c:v>0.59732313021597461</c:v>
                </c:pt>
                <c:pt idx="15">
                  <c:v>0.10414842183265367</c:v>
                </c:pt>
                <c:pt idx="16">
                  <c:v>-1.5166590206980798E-2</c:v>
                </c:pt>
                <c:pt idx="17">
                  <c:v>5.5207776743275289E-3</c:v>
                </c:pt>
                <c:pt idx="18">
                  <c:v>5.9632100861543594E-2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E4-4EDF-9D18-190A99975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4061088"/>
        <c:axId val="12940620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GROWTH!$B$1</c15:sqref>
                        </c15:formulaRef>
                      </c:ext>
                    </c:extLst>
                    <c:strCache>
                      <c:ptCount val="1"/>
                      <c:pt idx="0">
                        <c:v>OWN 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GROWTH!$B$2:$B$21</c15:sqref>
                        </c15:fullRef>
                        <c15:formulaRef>
                          <c15:sqref>GROWTH!$B$3:$B$21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11941.82</c:v>
                      </c:pt>
                      <c:pt idx="1">
                        <c:v>13668.95</c:v>
                      </c:pt>
                      <c:pt idx="2">
                        <c:v>15990.18</c:v>
                      </c:pt>
                      <c:pt idx="3">
                        <c:v>17625.02</c:v>
                      </c:pt>
                      <c:pt idx="4">
                        <c:v>21721.69</c:v>
                      </c:pt>
                      <c:pt idx="5" formatCode="0.0">
                        <c:v>25718.6</c:v>
                      </c:pt>
                      <c:pt idx="6">
                        <c:v>30076.61</c:v>
                      </c:pt>
                      <c:pt idx="7">
                        <c:v>31995.02</c:v>
                      </c:pt>
                      <c:pt idx="8" formatCode="0.0">
                        <c:v>35232.5</c:v>
                      </c:pt>
                      <c:pt idx="9">
                        <c:v>38995.15</c:v>
                      </c:pt>
                      <c:pt idx="10">
                        <c:v>42176.38</c:v>
                      </c:pt>
                      <c:pt idx="11">
                        <c:v>46459.61</c:v>
                      </c:pt>
                      <c:pt idx="12" formatCode="0.0">
                        <c:v>50644.1</c:v>
                      </c:pt>
                      <c:pt idx="13">
                        <c:v>50323.14</c:v>
                      </c:pt>
                      <c:pt idx="14">
                        <c:v>47660.84</c:v>
                      </c:pt>
                      <c:pt idx="15">
                        <c:v>58340.52</c:v>
                      </c:pt>
                      <c:pt idx="16">
                        <c:v>71968.160000000003</c:v>
                      </c:pt>
                      <c:pt idx="17">
                        <c:v>74329.009999999995</c:v>
                      </c:pt>
                      <c:pt idx="18" formatCode="General">
                        <c:v>76642.2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0E4-4EDF-9D18-190A9997578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GROWTH!$C$1</c15:sqref>
                        </c15:formulaRef>
                      </c:ext>
                    </c:extLst>
                    <c:strCache>
                      <c:ptCount val="1"/>
                      <c:pt idx="0">
                        <c:v>OWN TAX REVENUE GROWTH%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GROWTH!$C$2:$C$21</c15:sqref>
                        </c15:fullRef>
                        <c15:formulaRef>
                          <c15:sqref>GROWTH!$C$3:$C$21</c15:sqref>
                        </c15:formulaRef>
                      </c:ext>
                    </c:extLst>
                    <c:numCache>
                      <c:formatCode>0.00%</c:formatCode>
                      <c:ptCount val="19"/>
                      <c:pt idx="0">
                        <c:v>0.22108993787092371</c:v>
                      </c:pt>
                      <c:pt idx="1">
                        <c:v>0.14462870818685938</c:v>
                      </c:pt>
                      <c:pt idx="2">
                        <c:v>0.16981772557511729</c:v>
                      </c:pt>
                      <c:pt idx="3">
                        <c:v>0.10224024995340891</c:v>
                      </c:pt>
                      <c:pt idx="4">
                        <c:v>0.23243491354903417</c:v>
                      </c:pt>
                      <c:pt idx="5">
                        <c:v>0.18400548023657459</c:v>
                      </c:pt>
                      <c:pt idx="6">
                        <c:v>0.16944973676638705</c:v>
                      </c:pt>
                      <c:pt idx="7">
                        <c:v>6.3784116627505549E-2</c:v>
                      </c:pt>
                      <c:pt idx="8">
                        <c:v>0.10118699722644335</c:v>
                      </c:pt>
                      <c:pt idx="9">
                        <c:v>0.10679486269779327</c:v>
                      </c:pt>
                      <c:pt idx="10">
                        <c:v>8.1580145223187905E-2</c:v>
                      </c:pt>
                      <c:pt idx="11">
                        <c:v>0.10155518325660011</c:v>
                      </c:pt>
                      <c:pt idx="12">
                        <c:v>9.0067264878030573E-2</c:v>
                      </c:pt>
                      <c:pt idx="13">
                        <c:v>-6.3375595577767029E-3</c:v>
                      </c:pt>
                      <c:pt idx="14">
                        <c:v>-5.2904091437855488E-2</c:v>
                      </c:pt>
                      <c:pt idx="15">
                        <c:v>0.22407662139399978</c:v>
                      </c:pt>
                      <c:pt idx="16">
                        <c:v>0.23358790768405915</c:v>
                      </c:pt>
                      <c:pt idx="17">
                        <c:v>3.2804090030924667E-2</c:v>
                      </c:pt>
                      <c:pt idx="18">
                        <c:v>3.1120958021639229E-2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0E4-4EDF-9D18-190A9997578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GROWTH!$D$1</c15:sqref>
                        </c15:formulaRef>
                      </c:ext>
                    </c:extLst>
                    <c:strCache>
                      <c:ptCount val="1"/>
                      <c:pt idx="0">
                        <c:v>REVENUE RECEIPT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GROWTH!$D$2:$D$21</c15:sqref>
                        </c15:fullRef>
                        <c15:formulaRef>
                          <c15:sqref>GROWTH!$D$3:$D$21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18186.62</c:v>
                      </c:pt>
                      <c:pt idx="1">
                        <c:v>21106.79</c:v>
                      </c:pt>
                      <c:pt idx="2">
                        <c:v>24512.18</c:v>
                      </c:pt>
                      <c:pt idx="3">
                        <c:v>26109.4</c:v>
                      </c:pt>
                      <c:pt idx="4">
                        <c:v>30990.95</c:v>
                      </c:pt>
                      <c:pt idx="5">
                        <c:v>38010.36</c:v>
                      </c:pt>
                      <c:pt idx="6">
                        <c:v>44137.31</c:v>
                      </c:pt>
                      <c:pt idx="7">
                        <c:v>49176.94</c:v>
                      </c:pt>
                      <c:pt idx="8">
                        <c:v>57950.47</c:v>
                      </c:pt>
                      <c:pt idx="9">
                        <c:v>69032.66</c:v>
                      </c:pt>
                      <c:pt idx="10">
                        <c:v>75611.72</c:v>
                      </c:pt>
                      <c:pt idx="11">
                        <c:v>83020.14</c:v>
                      </c:pt>
                      <c:pt idx="12">
                        <c:v>92854.47</c:v>
                      </c:pt>
                      <c:pt idx="13">
                        <c:v>90224.67</c:v>
                      </c:pt>
                      <c:pt idx="14">
                        <c:v>97616.83</c:v>
                      </c:pt>
                      <c:pt idx="15">
                        <c:v>116640.24</c:v>
                      </c:pt>
                      <c:pt idx="16">
                        <c:v>132724.65</c:v>
                      </c:pt>
                      <c:pt idx="17">
                        <c:v>124486.15</c:v>
                      </c:pt>
                      <c:pt idx="18" formatCode="General">
                        <c:v>124861.07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E4-4EDF-9D18-190A9997578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GROWTH!$E$1</c15:sqref>
                        </c15:formulaRef>
                      </c:ext>
                    </c:extLst>
                    <c:strCache>
                      <c:ptCount val="1"/>
                      <c:pt idx="0">
                        <c:v>REVENUE RECEIPT GROWTH%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GROWTH!$E$2:$E$21</c15:sqref>
                        </c15:fullRef>
                        <c15:formulaRef>
                          <c15:sqref>GROWTH!$E$3:$E$21</c15:sqref>
                        </c15:formulaRef>
                      </c:ext>
                    </c:extLst>
                    <c:numCache>
                      <c:formatCode>0.00%</c:formatCode>
                      <c:ptCount val="19"/>
                      <c:pt idx="0">
                        <c:v>0.18909387153045656</c:v>
                      </c:pt>
                      <c:pt idx="1">
                        <c:v>0.16056694427001841</c:v>
                      </c:pt>
                      <c:pt idx="2">
                        <c:v>0.16134097131776073</c:v>
                      </c:pt>
                      <c:pt idx="3">
                        <c:v>6.5160259103841489E-2</c:v>
                      </c:pt>
                      <c:pt idx="4">
                        <c:v>0.18696523091300446</c:v>
                      </c:pt>
                      <c:pt idx="5">
                        <c:v>0.22649870365380861</c:v>
                      </c:pt>
                      <c:pt idx="6">
                        <c:v>0.16119158040071171</c:v>
                      </c:pt>
                      <c:pt idx="7">
                        <c:v>0.11418072374596469</c:v>
                      </c:pt>
                      <c:pt idx="8">
                        <c:v>0.17840739989108714</c:v>
                      </c:pt>
                      <c:pt idx="9">
                        <c:v>0.19123554994463379</c:v>
                      </c:pt>
                      <c:pt idx="10">
                        <c:v>9.530358528847066E-2</c:v>
                      </c:pt>
                      <c:pt idx="11">
                        <c:v>9.7979784086382346E-2</c:v>
                      </c:pt>
                      <c:pt idx="12">
                        <c:v>0.11845715991324517</c:v>
                      </c:pt>
                      <c:pt idx="13">
                        <c:v>-2.8321738307267308E-2</c:v>
                      </c:pt>
                      <c:pt idx="14">
                        <c:v>8.1930585060604855E-2</c:v>
                      </c:pt>
                      <c:pt idx="15">
                        <c:v>0.19487838316405073</c:v>
                      </c:pt>
                      <c:pt idx="16">
                        <c:v>0.13789760720656943</c:v>
                      </c:pt>
                      <c:pt idx="17">
                        <c:v>-6.2072116972996354E-2</c:v>
                      </c:pt>
                      <c:pt idx="18">
                        <c:v>3.0117406635196994E-3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E4-4EDF-9D18-190A9997578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GROWTH!$F$1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GROWTH!$F$2:$F$21</c15:sqref>
                        </c15:fullRef>
                        <c15:formulaRef>
                          <c15:sqref>GROWTH!$F$3:$F$21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20824.57</c:v>
                      </c:pt>
                      <c:pt idx="1">
                        <c:v>24891.64</c:v>
                      </c:pt>
                      <c:pt idx="2">
                        <c:v>28223.85</c:v>
                      </c:pt>
                      <c:pt idx="3">
                        <c:v>31132.38</c:v>
                      </c:pt>
                      <c:pt idx="4">
                        <c:v>34664.81</c:v>
                      </c:pt>
                      <c:pt idx="5">
                        <c:v>46044.62</c:v>
                      </c:pt>
                      <c:pt idx="6">
                        <c:v>53488.74</c:v>
                      </c:pt>
                      <c:pt idx="7">
                        <c:v>60485.5</c:v>
                      </c:pt>
                      <c:pt idx="8">
                        <c:v>71746.429999999993</c:v>
                      </c:pt>
                      <c:pt idx="9">
                        <c:v>78689.47</c:v>
                      </c:pt>
                      <c:pt idx="10">
                        <c:v>91096.31</c:v>
                      </c:pt>
                      <c:pt idx="11">
                        <c:v>99948.35</c:v>
                      </c:pt>
                      <c:pt idx="12">
                        <c:v>110316.39</c:v>
                      </c:pt>
                      <c:pt idx="13">
                        <c:v>104719.92</c:v>
                      </c:pt>
                      <c:pt idx="14">
                        <c:v>123446.33</c:v>
                      </c:pt>
                      <c:pt idx="15">
                        <c:v>146179.51</c:v>
                      </c:pt>
                      <c:pt idx="16">
                        <c:v>141950.94</c:v>
                      </c:pt>
                      <c:pt idx="17">
                        <c:v>142626.34</c:v>
                      </c:pt>
                      <c:pt idx="18" formatCode="General">
                        <c:v>155920.79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E4-4EDF-9D18-190A9997578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GROWTH!$H$1</c15:sqref>
                        </c15:formulaRef>
                      </c:ext>
                    </c:extLst>
                    <c:strCache>
                      <c:ptCount val="1"/>
                      <c:pt idx="0">
                        <c:v>GSDP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GROWTH!$H$2:$H$21</c15:sqref>
                        </c15:fullRef>
                        <c15:formulaRef>
                          <c15:sqref>GROWTH!$H$3:$H$21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142470.04</c:v>
                      </c:pt>
                      <c:pt idx="1">
                        <c:v>175141.08</c:v>
                      </c:pt>
                      <c:pt idx="2">
                        <c:v>201019.75</c:v>
                      </c:pt>
                      <c:pt idx="3">
                        <c:v>230315.55</c:v>
                      </c:pt>
                      <c:pt idx="4">
                        <c:v>276996.7</c:v>
                      </c:pt>
                      <c:pt idx="5">
                        <c:v>364047.88</c:v>
                      </c:pt>
                      <c:pt idx="6">
                        <c:v>412313</c:v>
                      </c:pt>
                      <c:pt idx="7">
                        <c:v>465041.21</c:v>
                      </c:pt>
                      <c:pt idx="8">
                        <c:v>512564.05</c:v>
                      </c:pt>
                      <c:pt idx="9">
                        <c:v>561993.61</c:v>
                      </c:pt>
                      <c:pt idx="10">
                        <c:v>634886.40000000002</c:v>
                      </c:pt>
                      <c:pt idx="11">
                        <c:v>701588.26</c:v>
                      </c:pt>
                      <c:pt idx="12">
                        <c:v>788285.58</c:v>
                      </c:pt>
                      <c:pt idx="13">
                        <c:v>812934.63</c:v>
                      </c:pt>
                      <c:pt idx="14">
                        <c:v>771723.89</c:v>
                      </c:pt>
                      <c:pt idx="15">
                        <c:v>924465.42</c:v>
                      </c:pt>
                      <c:pt idx="16">
                        <c:v>1038734.06</c:v>
                      </c:pt>
                      <c:pt idx="17">
                        <c:v>1135371.56</c:v>
                      </c:pt>
                      <c:pt idx="18">
                        <c:v>1248533.01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0E4-4EDF-9D18-190A9997578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GROWTH!$I$1</c15:sqref>
                        </c15:formulaRef>
                      </c:ext>
                    </c:extLst>
                    <c:strCache>
                      <c:ptCount val="1"/>
                      <c:pt idx="0">
                        <c:v>GSDP GROWTH%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GROWTH!$I$2:$I$21</c15:sqref>
                        </c15:fullRef>
                        <c15:formulaRef>
                          <c15:sqref>GROWTH!$I$3:$I$21</c15:sqref>
                        </c15:formulaRef>
                      </c:ext>
                    </c:extLst>
                    <c:numCache>
                      <c:formatCode>0.00%</c:formatCode>
                      <c:ptCount val="19"/>
                      <c:pt idx="0">
                        <c:v>0.14535496668446568</c:v>
                      </c:pt>
                      <c:pt idx="1">
                        <c:v>0.22931866938480525</c:v>
                      </c:pt>
                      <c:pt idx="2">
                        <c:v>0.14775899520546529</c:v>
                      </c:pt>
                      <c:pt idx="3">
                        <c:v>0.1457359289323561</c:v>
                      </c:pt>
                      <c:pt idx="4">
                        <c:v>0.202683448859619</c:v>
                      </c:pt>
                      <c:pt idx="5">
                        <c:v>0.31426793171182182</c:v>
                      </c:pt>
                      <c:pt idx="6">
                        <c:v>0.1325790442729676</c:v>
                      </c:pt>
                      <c:pt idx="7">
                        <c:v>0.12788393768811562</c:v>
                      </c:pt>
                      <c:pt idx="8">
                        <c:v>0.10219059940945871</c:v>
                      </c:pt>
                      <c:pt idx="9">
                        <c:v>9.6435869819586448E-2</c:v>
                      </c:pt>
                      <c:pt idx="10">
                        <c:v>0.12970394805734542</c:v>
                      </c:pt>
                      <c:pt idx="11">
                        <c:v>0.10506109439420971</c:v>
                      </c:pt>
                      <c:pt idx="12">
                        <c:v>0.12357293435896426</c:v>
                      </c:pt>
                      <c:pt idx="13">
                        <c:v>3.1269188001637742E-2</c:v>
                      </c:pt>
                      <c:pt idx="14">
                        <c:v>-5.0693793177441576E-2</c:v>
                      </c:pt>
                      <c:pt idx="15">
                        <c:v>0.19792251086071733</c:v>
                      </c:pt>
                      <c:pt idx="16">
                        <c:v>0.12360509925833679</c:v>
                      </c:pt>
                      <c:pt idx="17">
                        <c:v>9.3033918614356392E-2</c:v>
                      </c:pt>
                      <c:pt idx="18">
                        <c:v>9.9669089826417659E-2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0E4-4EDF-9D18-190A9997578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GROWTH!$J$1</c15:sqref>
                        </c15:formulaRef>
                      </c:ext>
                    </c:extLst>
                    <c:strCache>
                      <c:ptCount val="1"/>
                      <c:pt idx="0">
                        <c:v>CAPITAL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GROWTH!$J$2:$J$21</c15:sqref>
                        </c15:fullRef>
                        <c15:formulaRef>
                          <c15:sqref>GROWTH!$J$3:$J$21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1251.97</c:v>
                      </c:pt>
                      <c:pt idx="1">
                        <c:v>2367.7399999999998</c:v>
                      </c:pt>
                      <c:pt idx="2">
                        <c:v>2679.29</c:v>
                      </c:pt>
                      <c:pt idx="3">
                        <c:v>2936.06</c:v>
                      </c:pt>
                      <c:pt idx="4">
                        <c:v>4125.43</c:v>
                      </c:pt>
                      <c:pt idx="5">
                        <c:v>4851.46</c:v>
                      </c:pt>
                      <c:pt idx="6">
                        <c:v>5739.44</c:v>
                      </c:pt>
                      <c:pt idx="7">
                        <c:v>5758.5</c:v>
                      </c:pt>
                      <c:pt idx="8">
                        <c:v>4997.68</c:v>
                      </c:pt>
                      <c:pt idx="9">
                        <c:v>8342.2900000000009</c:v>
                      </c:pt>
                      <c:pt idx="10">
                        <c:v>11286.25</c:v>
                      </c:pt>
                      <c:pt idx="11">
                        <c:v>10289.459999999999</c:v>
                      </c:pt>
                      <c:pt idx="12">
                        <c:v>9753.43</c:v>
                      </c:pt>
                      <c:pt idx="13">
                        <c:v>9665.02</c:v>
                      </c:pt>
                      <c:pt idx="14">
                        <c:v>15438.16</c:v>
                      </c:pt>
                      <c:pt idx="15">
                        <c:v>17046.02</c:v>
                      </c:pt>
                      <c:pt idx="16">
                        <c:v>16787.490000000002</c:v>
                      </c:pt>
                      <c:pt idx="17">
                        <c:v>16880.169999999998</c:v>
                      </c:pt>
                      <c:pt idx="18" formatCode="General">
                        <c:v>17886.77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0E4-4EDF-9D18-190A9997578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GROWTH!$L$1</c15:sqref>
                        </c15:formulaRef>
                      </c:ext>
                    </c:extLst>
                    <c:strCache>
                      <c:ptCount val="1"/>
                      <c:pt idx="0">
                        <c:v>FISCAL DEFICIT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GROWTH!$L$2:$L$21</c15:sqref>
                        </c15:fullRef>
                        <c15:formulaRef>
                          <c15:sqref>GROWTH!$L$3:$L$21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3821.87</c:v>
                      </c:pt>
                      <c:pt idx="1">
                        <c:v>6100.21</c:v>
                      </c:pt>
                      <c:pt idx="2">
                        <c:v>6346.21</c:v>
                      </c:pt>
                      <c:pt idx="3">
                        <c:v>7871.6</c:v>
                      </c:pt>
                      <c:pt idx="4">
                        <c:v>7730.46</c:v>
                      </c:pt>
                      <c:pt idx="5">
                        <c:v>12814.77</c:v>
                      </c:pt>
                      <c:pt idx="6">
                        <c:v>15002.47</c:v>
                      </c:pt>
                      <c:pt idx="7">
                        <c:v>16944.12</c:v>
                      </c:pt>
                      <c:pt idx="8">
                        <c:v>18641.73</c:v>
                      </c:pt>
                      <c:pt idx="9">
                        <c:v>17818.39</c:v>
                      </c:pt>
                      <c:pt idx="10">
                        <c:v>26448.35</c:v>
                      </c:pt>
                      <c:pt idx="11">
                        <c:v>26837.41</c:v>
                      </c:pt>
                      <c:pt idx="12">
                        <c:v>26958.3</c:v>
                      </c:pt>
                      <c:pt idx="13">
                        <c:v>23837.48</c:v>
                      </c:pt>
                      <c:pt idx="14">
                        <c:v>35203.69</c:v>
                      </c:pt>
                      <c:pt idx="15">
                        <c:v>37306.47</c:v>
                      </c:pt>
                      <c:pt idx="16">
                        <c:v>25554.54</c:v>
                      </c:pt>
                      <c:pt idx="17">
                        <c:v>34258.050000000003</c:v>
                      </c:pt>
                      <c:pt idx="18">
                        <c:v>48248.14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0E4-4EDF-9D18-190A99975780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GROWTH!$M$1</c15:sqref>
                        </c15:formulaRef>
                      </c:ext>
                    </c:extLst>
                    <c:strCache>
                      <c:ptCount val="1"/>
                      <c:pt idx="0">
                        <c:v>FISCAL DEFICIT GROWTH%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GROWTH!$M$2:$M$21</c15:sqref>
                        </c15:fullRef>
                        <c15:formulaRef>
                          <c15:sqref>GROWTH!$M$3:$M$21</c15:sqref>
                        </c15:formulaRef>
                      </c:ext>
                    </c:extLst>
                    <c:numCache>
                      <c:formatCode>0.00%</c:formatCode>
                      <c:ptCount val="19"/>
                      <c:pt idx="0">
                        <c:v>-8.6053107333824444E-2</c:v>
                      </c:pt>
                      <c:pt idx="1">
                        <c:v>0.59613225986231877</c:v>
                      </c:pt>
                      <c:pt idx="2">
                        <c:v>4.0326480563783872E-2</c:v>
                      </c:pt>
                      <c:pt idx="3">
                        <c:v>0.24036235800580194</c:v>
                      </c:pt>
                      <c:pt idx="4">
                        <c:v>-1.7930281010213975E-2</c:v>
                      </c:pt>
                      <c:pt idx="5">
                        <c:v>0.6576982482284367</c:v>
                      </c:pt>
                      <c:pt idx="6">
                        <c:v>0.17071707100478578</c:v>
                      </c:pt>
                      <c:pt idx="7">
                        <c:v>0.12942202184040361</c:v>
                      </c:pt>
                      <c:pt idx="8">
                        <c:v>0.10018873804009891</c:v>
                      </c:pt>
                      <c:pt idx="9">
                        <c:v>-4.4166501714164946E-2</c:v>
                      </c:pt>
                      <c:pt idx="10">
                        <c:v>0.48432883105600444</c:v>
                      </c:pt>
                      <c:pt idx="11">
                        <c:v>1.4710180408229676E-2</c:v>
                      </c:pt>
                      <c:pt idx="12">
                        <c:v>4.5045330380241392E-3</c:v>
                      </c:pt>
                      <c:pt idx="13">
                        <c:v>-0.11576471810166071</c:v>
                      </c:pt>
                      <c:pt idx="14">
                        <c:v>0.47682095590641305</c:v>
                      </c:pt>
                      <c:pt idx="15">
                        <c:v>5.9731806523691089E-2</c:v>
                      </c:pt>
                      <c:pt idx="16">
                        <c:v>-0.31501050622050275</c:v>
                      </c:pt>
                      <c:pt idx="17">
                        <c:v>0.34058566501294885</c:v>
                      </c:pt>
                      <c:pt idx="18">
                        <c:v>0.4083737982751498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0E4-4EDF-9D18-190A99975780}"/>
                  </c:ext>
                </c:extLst>
              </c15:ser>
            </c15:filteredLineSeries>
          </c:ext>
        </c:extLst>
      </c:lineChart>
      <c:catAx>
        <c:axId val="129406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9928346456692912"/>
              <c:y val="0.80518445610965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4062048"/>
        <c:crosses val="autoZero"/>
        <c:auto val="1"/>
        <c:lblAlgn val="ctr"/>
        <c:lblOffset val="100"/>
        <c:noMultiLvlLbl val="0"/>
      </c:catAx>
      <c:valAx>
        <c:axId val="129406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GROWTH</a:t>
                </a:r>
                <a:r>
                  <a:rPr lang="en-IN" b="1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RATE</a:t>
                </a:r>
                <a:r>
                  <a:rPr lang="en-IN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406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Growth Trends in Fiscal Deficit and GSDP in Kerala (2006–07 to 2024–25)</a:t>
            </a:r>
            <a:endParaRPr lang="en-IN" b="1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GROWTH!$I$1</c:f>
              <c:strCache>
                <c:ptCount val="1"/>
                <c:pt idx="0">
                  <c:v>GSDP GROWTH%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GROWTH!$A$2:$A$21</c15:sqref>
                  </c15:fullRef>
                </c:ext>
              </c:extLst>
              <c:f>GROWTH!$A$3:$A$21</c:f>
              <c:strCache>
                <c:ptCount val="19"/>
                <c:pt idx="0">
                  <c:v>2006-2007</c:v>
                </c:pt>
                <c:pt idx="1">
                  <c:v>2007-2008</c:v>
                </c:pt>
                <c:pt idx="2">
                  <c:v>2008-2009</c:v>
                </c:pt>
                <c:pt idx="3">
                  <c:v>2009-2010</c:v>
                </c:pt>
                <c:pt idx="4">
                  <c:v>2010-2011</c:v>
                </c:pt>
                <c:pt idx="5">
                  <c:v>2011-2012</c:v>
                </c:pt>
                <c:pt idx="6">
                  <c:v>2012-2013</c:v>
                </c:pt>
                <c:pt idx="7">
                  <c:v>2013-2014</c:v>
                </c:pt>
                <c:pt idx="8">
                  <c:v>2014-2015</c:v>
                </c:pt>
                <c:pt idx="9">
                  <c:v>2015-2016</c:v>
                </c:pt>
                <c:pt idx="10">
                  <c:v>2016-2017</c:v>
                </c:pt>
                <c:pt idx="11">
                  <c:v>2017-2018</c:v>
                </c:pt>
                <c:pt idx="12">
                  <c:v>2018-2019</c:v>
                </c:pt>
                <c:pt idx="13">
                  <c:v>2019-2020</c:v>
                </c:pt>
                <c:pt idx="14">
                  <c:v>2020-2021</c:v>
                </c:pt>
                <c:pt idx="15">
                  <c:v>2021-2022</c:v>
                </c:pt>
                <c:pt idx="16">
                  <c:v>2022-2023</c:v>
                </c:pt>
                <c:pt idx="17">
                  <c:v>2023-2024</c:v>
                </c:pt>
                <c:pt idx="18">
                  <c:v>2024-2025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GROWTH!$I$2:$I$21</c15:sqref>
                  </c15:fullRef>
                </c:ext>
              </c:extLst>
              <c:f>GROWTH!$I$3:$I$21</c:f>
              <c:numCache>
                <c:formatCode>0.00%</c:formatCode>
                <c:ptCount val="19"/>
                <c:pt idx="0">
                  <c:v>0.14535496668446568</c:v>
                </c:pt>
                <c:pt idx="1">
                  <c:v>0.22931866938480525</c:v>
                </c:pt>
                <c:pt idx="2">
                  <c:v>0.14775899520546529</c:v>
                </c:pt>
                <c:pt idx="3">
                  <c:v>0.1457359289323561</c:v>
                </c:pt>
                <c:pt idx="4">
                  <c:v>0.202683448859619</c:v>
                </c:pt>
                <c:pt idx="5">
                  <c:v>0.31426793171182182</c:v>
                </c:pt>
                <c:pt idx="6">
                  <c:v>0.1325790442729676</c:v>
                </c:pt>
                <c:pt idx="7">
                  <c:v>0.12788393768811562</c:v>
                </c:pt>
                <c:pt idx="8">
                  <c:v>0.10219059940945871</c:v>
                </c:pt>
                <c:pt idx="9">
                  <c:v>9.6435869819586448E-2</c:v>
                </c:pt>
                <c:pt idx="10">
                  <c:v>0.12970394805734542</c:v>
                </c:pt>
                <c:pt idx="11">
                  <c:v>0.10506109439420971</c:v>
                </c:pt>
                <c:pt idx="12">
                  <c:v>0.12357293435896426</c:v>
                </c:pt>
                <c:pt idx="13">
                  <c:v>3.1269188001637742E-2</c:v>
                </c:pt>
                <c:pt idx="14">
                  <c:v>-5.0693793177441576E-2</c:v>
                </c:pt>
                <c:pt idx="15">
                  <c:v>0.19792251086071733</c:v>
                </c:pt>
                <c:pt idx="16">
                  <c:v>0.12360509925833679</c:v>
                </c:pt>
                <c:pt idx="17">
                  <c:v>9.3033918614356392E-2</c:v>
                </c:pt>
                <c:pt idx="18">
                  <c:v>9.9669089826417659E-2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630-ADE4-C138BA09742A}"/>
            </c:ext>
          </c:extLst>
        </c:ser>
        <c:ser>
          <c:idx val="11"/>
          <c:order val="11"/>
          <c:tx>
            <c:strRef>
              <c:f>GROWTH!$M$1</c:f>
              <c:strCache>
                <c:ptCount val="1"/>
                <c:pt idx="0">
                  <c:v>FISCAL DEFICIT GROWTH%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GROWTH!$A$2:$A$21</c15:sqref>
                  </c15:fullRef>
                </c:ext>
              </c:extLst>
              <c:f>GROWTH!$A$3:$A$21</c:f>
              <c:strCache>
                <c:ptCount val="19"/>
                <c:pt idx="0">
                  <c:v>2006-2007</c:v>
                </c:pt>
                <c:pt idx="1">
                  <c:v>2007-2008</c:v>
                </c:pt>
                <c:pt idx="2">
                  <c:v>2008-2009</c:v>
                </c:pt>
                <c:pt idx="3">
                  <c:v>2009-2010</c:v>
                </c:pt>
                <c:pt idx="4">
                  <c:v>2010-2011</c:v>
                </c:pt>
                <c:pt idx="5">
                  <c:v>2011-2012</c:v>
                </c:pt>
                <c:pt idx="6">
                  <c:v>2012-2013</c:v>
                </c:pt>
                <c:pt idx="7">
                  <c:v>2013-2014</c:v>
                </c:pt>
                <c:pt idx="8">
                  <c:v>2014-2015</c:v>
                </c:pt>
                <c:pt idx="9">
                  <c:v>2015-2016</c:v>
                </c:pt>
                <c:pt idx="10">
                  <c:v>2016-2017</c:v>
                </c:pt>
                <c:pt idx="11">
                  <c:v>2017-2018</c:v>
                </c:pt>
                <c:pt idx="12">
                  <c:v>2018-2019</c:v>
                </c:pt>
                <c:pt idx="13">
                  <c:v>2019-2020</c:v>
                </c:pt>
                <c:pt idx="14">
                  <c:v>2020-2021</c:v>
                </c:pt>
                <c:pt idx="15">
                  <c:v>2021-2022</c:v>
                </c:pt>
                <c:pt idx="16">
                  <c:v>2022-2023</c:v>
                </c:pt>
                <c:pt idx="17">
                  <c:v>2023-2024</c:v>
                </c:pt>
                <c:pt idx="18">
                  <c:v>2024-2025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GROWTH!$M$2:$M$21</c15:sqref>
                  </c15:fullRef>
                </c:ext>
              </c:extLst>
              <c:f>GROWTH!$M$3:$M$21</c:f>
              <c:numCache>
                <c:formatCode>0.00%</c:formatCode>
                <c:ptCount val="19"/>
                <c:pt idx="0">
                  <c:v>-8.6053107333824444E-2</c:v>
                </c:pt>
                <c:pt idx="1">
                  <c:v>0.59613225986231877</c:v>
                </c:pt>
                <c:pt idx="2">
                  <c:v>4.0326480563783872E-2</c:v>
                </c:pt>
                <c:pt idx="3">
                  <c:v>0.24036235800580194</c:v>
                </c:pt>
                <c:pt idx="4">
                  <c:v>-1.7930281010213975E-2</c:v>
                </c:pt>
                <c:pt idx="5">
                  <c:v>0.6576982482284367</c:v>
                </c:pt>
                <c:pt idx="6">
                  <c:v>0.17071707100478578</c:v>
                </c:pt>
                <c:pt idx="7">
                  <c:v>0.12942202184040361</c:v>
                </c:pt>
                <c:pt idx="8">
                  <c:v>0.10018873804009891</c:v>
                </c:pt>
                <c:pt idx="9">
                  <c:v>-4.4166501714164946E-2</c:v>
                </c:pt>
                <c:pt idx="10">
                  <c:v>0.48432883105600444</c:v>
                </c:pt>
                <c:pt idx="11">
                  <c:v>1.4710180408229676E-2</c:v>
                </c:pt>
                <c:pt idx="12">
                  <c:v>4.5045330380241392E-3</c:v>
                </c:pt>
                <c:pt idx="13">
                  <c:v>-0.11576471810166071</c:v>
                </c:pt>
                <c:pt idx="14">
                  <c:v>0.47682095590641305</c:v>
                </c:pt>
                <c:pt idx="15">
                  <c:v>5.9731806523691089E-2</c:v>
                </c:pt>
                <c:pt idx="16">
                  <c:v>-0.31501050622050275</c:v>
                </c:pt>
                <c:pt idx="17">
                  <c:v>0.34058566501294885</c:v>
                </c:pt>
                <c:pt idx="18">
                  <c:v>0.4083737982751498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630-ADE4-C138BA097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4061088"/>
        <c:axId val="12940620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GROWTH!$B$1</c15:sqref>
                        </c15:formulaRef>
                      </c:ext>
                    </c:extLst>
                    <c:strCache>
                      <c:ptCount val="1"/>
                      <c:pt idx="0">
                        <c:v>OWN TAX 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GROWTH!$B$2:$B$21</c15:sqref>
                        </c15:fullRef>
                        <c15:formulaRef>
                          <c15:sqref>GROWTH!$B$3:$B$21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11941.82</c:v>
                      </c:pt>
                      <c:pt idx="1">
                        <c:v>13668.95</c:v>
                      </c:pt>
                      <c:pt idx="2">
                        <c:v>15990.18</c:v>
                      </c:pt>
                      <c:pt idx="3">
                        <c:v>17625.02</c:v>
                      </c:pt>
                      <c:pt idx="4">
                        <c:v>21721.69</c:v>
                      </c:pt>
                      <c:pt idx="5" formatCode="0.0">
                        <c:v>25718.6</c:v>
                      </c:pt>
                      <c:pt idx="6">
                        <c:v>30076.61</c:v>
                      </c:pt>
                      <c:pt idx="7">
                        <c:v>31995.02</c:v>
                      </c:pt>
                      <c:pt idx="8" formatCode="0.0">
                        <c:v>35232.5</c:v>
                      </c:pt>
                      <c:pt idx="9">
                        <c:v>38995.15</c:v>
                      </c:pt>
                      <c:pt idx="10">
                        <c:v>42176.38</c:v>
                      </c:pt>
                      <c:pt idx="11">
                        <c:v>46459.61</c:v>
                      </c:pt>
                      <c:pt idx="12" formatCode="0.0">
                        <c:v>50644.1</c:v>
                      </c:pt>
                      <c:pt idx="13">
                        <c:v>50323.14</c:v>
                      </c:pt>
                      <c:pt idx="14">
                        <c:v>47660.84</c:v>
                      </c:pt>
                      <c:pt idx="15">
                        <c:v>58340.52</c:v>
                      </c:pt>
                      <c:pt idx="16">
                        <c:v>71968.160000000003</c:v>
                      </c:pt>
                      <c:pt idx="17">
                        <c:v>74329.009999999995</c:v>
                      </c:pt>
                      <c:pt idx="18" formatCode="General">
                        <c:v>76642.2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D83-4630-ADE4-C138BA09742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GROWTH!$C$1</c15:sqref>
                        </c15:formulaRef>
                      </c:ext>
                    </c:extLst>
                    <c:strCache>
                      <c:ptCount val="1"/>
                      <c:pt idx="0">
                        <c:v>OWN TAX REVENUE GROWTH%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GROWTH!$C$2:$C$21</c15:sqref>
                        </c15:fullRef>
                        <c15:formulaRef>
                          <c15:sqref>GROWTH!$C$3:$C$21</c15:sqref>
                        </c15:formulaRef>
                      </c:ext>
                    </c:extLst>
                    <c:numCache>
                      <c:formatCode>0.00%</c:formatCode>
                      <c:ptCount val="19"/>
                      <c:pt idx="0">
                        <c:v>0.22108993787092371</c:v>
                      </c:pt>
                      <c:pt idx="1">
                        <c:v>0.14462870818685938</c:v>
                      </c:pt>
                      <c:pt idx="2">
                        <c:v>0.16981772557511729</c:v>
                      </c:pt>
                      <c:pt idx="3">
                        <c:v>0.10224024995340891</c:v>
                      </c:pt>
                      <c:pt idx="4">
                        <c:v>0.23243491354903417</c:v>
                      </c:pt>
                      <c:pt idx="5">
                        <c:v>0.18400548023657459</c:v>
                      </c:pt>
                      <c:pt idx="6">
                        <c:v>0.16944973676638705</c:v>
                      </c:pt>
                      <c:pt idx="7">
                        <c:v>6.3784116627505549E-2</c:v>
                      </c:pt>
                      <c:pt idx="8">
                        <c:v>0.10118699722644335</c:v>
                      </c:pt>
                      <c:pt idx="9">
                        <c:v>0.10679486269779327</c:v>
                      </c:pt>
                      <c:pt idx="10">
                        <c:v>8.1580145223187905E-2</c:v>
                      </c:pt>
                      <c:pt idx="11">
                        <c:v>0.10155518325660011</c:v>
                      </c:pt>
                      <c:pt idx="12">
                        <c:v>9.0067264878030573E-2</c:v>
                      </c:pt>
                      <c:pt idx="13">
                        <c:v>-6.3375595577767029E-3</c:v>
                      </c:pt>
                      <c:pt idx="14">
                        <c:v>-5.2904091437855488E-2</c:v>
                      </c:pt>
                      <c:pt idx="15">
                        <c:v>0.22407662139399978</c:v>
                      </c:pt>
                      <c:pt idx="16">
                        <c:v>0.23358790768405915</c:v>
                      </c:pt>
                      <c:pt idx="17">
                        <c:v>3.2804090030924667E-2</c:v>
                      </c:pt>
                      <c:pt idx="18">
                        <c:v>3.1120958021639229E-2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D83-4630-ADE4-C138BA09742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GROWTH!$D$1</c15:sqref>
                        </c15:formulaRef>
                      </c:ext>
                    </c:extLst>
                    <c:strCache>
                      <c:ptCount val="1"/>
                      <c:pt idx="0">
                        <c:v>REVENUE RECEIPT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GROWTH!$D$2:$D$21</c15:sqref>
                        </c15:fullRef>
                        <c15:formulaRef>
                          <c15:sqref>GROWTH!$D$3:$D$21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18186.62</c:v>
                      </c:pt>
                      <c:pt idx="1">
                        <c:v>21106.79</c:v>
                      </c:pt>
                      <c:pt idx="2">
                        <c:v>24512.18</c:v>
                      </c:pt>
                      <c:pt idx="3">
                        <c:v>26109.4</c:v>
                      </c:pt>
                      <c:pt idx="4">
                        <c:v>30990.95</c:v>
                      </c:pt>
                      <c:pt idx="5">
                        <c:v>38010.36</c:v>
                      </c:pt>
                      <c:pt idx="6">
                        <c:v>44137.31</c:v>
                      </c:pt>
                      <c:pt idx="7">
                        <c:v>49176.94</c:v>
                      </c:pt>
                      <c:pt idx="8">
                        <c:v>57950.47</c:v>
                      </c:pt>
                      <c:pt idx="9">
                        <c:v>69032.66</c:v>
                      </c:pt>
                      <c:pt idx="10">
                        <c:v>75611.72</c:v>
                      </c:pt>
                      <c:pt idx="11">
                        <c:v>83020.14</c:v>
                      </c:pt>
                      <c:pt idx="12">
                        <c:v>92854.47</c:v>
                      </c:pt>
                      <c:pt idx="13">
                        <c:v>90224.67</c:v>
                      </c:pt>
                      <c:pt idx="14">
                        <c:v>97616.83</c:v>
                      </c:pt>
                      <c:pt idx="15">
                        <c:v>116640.24</c:v>
                      </c:pt>
                      <c:pt idx="16">
                        <c:v>132724.65</c:v>
                      </c:pt>
                      <c:pt idx="17">
                        <c:v>124486.15</c:v>
                      </c:pt>
                      <c:pt idx="18" formatCode="General">
                        <c:v>124861.07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D83-4630-ADE4-C138BA09742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GROWTH!$E$1</c15:sqref>
                        </c15:formulaRef>
                      </c:ext>
                    </c:extLst>
                    <c:strCache>
                      <c:ptCount val="1"/>
                      <c:pt idx="0">
                        <c:v>REVENUE RECEIPT GROWTH%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GROWTH!$E$2:$E$21</c15:sqref>
                        </c15:fullRef>
                        <c15:formulaRef>
                          <c15:sqref>GROWTH!$E$3:$E$21</c15:sqref>
                        </c15:formulaRef>
                      </c:ext>
                    </c:extLst>
                    <c:numCache>
                      <c:formatCode>0.00%</c:formatCode>
                      <c:ptCount val="19"/>
                      <c:pt idx="0">
                        <c:v>0.18909387153045656</c:v>
                      </c:pt>
                      <c:pt idx="1">
                        <c:v>0.16056694427001841</c:v>
                      </c:pt>
                      <c:pt idx="2">
                        <c:v>0.16134097131776073</c:v>
                      </c:pt>
                      <c:pt idx="3">
                        <c:v>6.5160259103841489E-2</c:v>
                      </c:pt>
                      <c:pt idx="4">
                        <c:v>0.18696523091300446</c:v>
                      </c:pt>
                      <c:pt idx="5">
                        <c:v>0.22649870365380861</c:v>
                      </c:pt>
                      <c:pt idx="6">
                        <c:v>0.16119158040071171</c:v>
                      </c:pt>
                      <c:pt idx="7">
                        <c:v>0.11418072374596469</c:v>
                      </c:pt>
                      <c:pt idx="8">
                        <c:v>0.17840739989108714</c:v>
                      </c:pt>
                      <c:pt idx="9">
                        <c:v>0.19123554994463379</c:v>
                      </c:pt>
                      <c:pt idx="10">
                        <c:v>9.530358528847066E-2</c:v>
                      </c:pt>
                      <c:pt idx="11">
                        <c:v>9.7979784086382346E-2</c:v>
                      </c:pt>
                      <c:pt idx="12">
                        <c:v>0.11845715991324517</c:v>
                      </c:pt>
                      <c:pt idx="13">
                        <c:v>-2.8321738307267308E-2</c:v>
                      </c:pt>
                      <c:pt idx="14">
                        <c:v>8.1930585060604855E-2</c:v>
                      </c:pt>
                      <c:pt idx="15">
                        <c:v>0.19487838316405073</c:v>
                      </c:pt>
                      <c:pt idx="16">
                        <c:v>0.13789760720656943</c:v>
                      </c:pt>
                      <c:pt idx="17">
                        <c:v>-6.2072116972996354E-2</c:v>
                      </c:pt>
                      <c:pt idx="18">
                        <c:v>3.0117406635196994E-3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D83-4630-ADE4-C138BA09742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GROWTH!$F$1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GROWTH!$F$2:$F$21</c15:sqref>
                        </c15:fullRef>
                        <c15:formulaRef>
                          <c15:sqref>GROWTH!$F$3:$F$21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20824.57</c:v>
                      </c:pt>
                      <c:pt idx="1">
                        <c:v>24891.64</c:v>
                      </c:pt>
                      <c:pt idx="2">
                        <c:v>28223.85</c:v>
                      </c:pt>
                      <c:pt idx="3">
                        <c:v>31132.38</c:v>
                      </c:pt>
                      <c:pt idx="4">
                        <c:v>34664.81</c:v>
                      </c:pt>
                      <c:pt idx="5">
                        <c:v>46044.62</c:v>
                      </c:pt>
                      <c:pt idx="6">
                        <c:v>53488.74</c:v>
                      </c:pt>
                      <c:pt idx="7">
                        <c:v>60485.5</c:v>
                      </c:pt>
                      <c:pt idx="8">
                        <c:v>71746.429999999993</c:v>
                      </c:pt>
                      <c:pt idx="9">
                        <c:v>78689.47</c:v>
                      </c:pt>
                      <c:pt idx="10">
                        <c:v>91096.31</c:v>
                      </c:pt>
                      <c:pt idx="11">
                        <c:v>99948.35</c:v>
                      </c:pt>
                      <c:pt idx="12">
                        <c:v>110316.39</c:v>
                      </c:pt>
                      <c:pt idx="13">
                        <c:v>104719.92</c:v>
                      </c:pt>
                      <c:pt idx="14">
                        <c:v>123446.33</c:v>
                      </c:pt>
                      <c:pt idx="15">
                        <c:v>146179.51</c:v>
                      </c:pt>
                      <c:pt idx="16">
                        <c:v>141950.94</c:v>
                      </c:pt>
                      <c:pt idx="17">
                        <c:v>142626.34</c:v>
                      </c:pt>
                      <c:pt idx="18" formatCode="General">
                        <c:v>155920.79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D83-4630-ADE4-C138BA09742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GROWTH!$G$1</c15:sqref>
                        </c15:formulaRef>
                      </c:ext>
                    </c:extLst>
                    <c:strCache>
                      <c:ptCount val="1"/>
                      <c:pt idx="0">
                        <c:v>REVENUE EXPENDITURE GROWTH%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GROWTH!$G$2:$G$21</c15:sqref>
                        </c15:fullRef>
                        <c15:formulaRef>
                          <c15:sqref>GROWTH!$G$3:$G$21</c15:sqref>
                        </c15:formulaRef>
                      </c:ext>
                    </c:extLst>
                    <c:numCache>
                      <c:formatCode>0.00%</c:formatCode>
                      <c:ptCount val="19"/>
                      <c:pt idx="0">
                        <c:v>0.13032157702248953</c:v>
                      </c:pt>
                      <c:pt idx="1">
                        <c:v>0.19530151162785112</c:v>
                      </c:pt>
                      <c:pt idx="2">
                        <c:v>0.13386864023423123</c:v>
                      </c:pt>
                      <c:pt idx="3">
                        <c:v>0.10305220584718253</c:v>
                      </c:pt>
                      <c:pt idx="4">
                        <c:v>0.11346482344106029</c:v>
                      </c:pt>
                      <c:pt idx="5">
                        <c:v>0.3282813319905693</c:v>
                      </c:pt>
                      <c:pt idx="6">
                        <c:v>0.16167187393445737</c:v>
                      </c:pt>
                      <c:pt idx="7">
                        <c:v>0.13080809157217019</c:v>
                      </c:pt>
                      <c:pt idx="8">
                        <c:v>0.18617569500128117</c:v>
                      </c:pt>
                      <c:pt idx="9">
                        <c:v>9.6771923007179711E-2</c:v>
                      </c:pt>
                      <c:pt idx="10">
                        <c:v>0.15766836401363482</c:v>
                      </c:pt>
                      <c:pt idx="11">
                        <c:v>9.7172322347634149E-2</c:v>
                      </c:pt>
                      <c:pt idx="12">
                        <c:v>0.10373397859994681</c:v>
                      </c:pt>
                      <c:pt idx="13">
                        <c:v>-5.073108356790864E-2</c:v>
                      </c:pt>
                      <c:pt idx="14">
                        <c:v>0.17882376151547866</c:v>
                      </c:pt>
                      <c:pt idx="15">
                        <c:v>0.1841543608465315</c:v>
                      </c:pt>
                      <c:pt idx="16">
                        <c:v>-2.8927241581258596E-2</c:v>
                      </c:pt>
                      <c:pt idx="17">
                        <c:v>4.7579818774007004E-3</c:v>
                      </c:pt>
                      <c:pt idx="18">
                        <c:v>9.3211744759067724E-2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D83-4630-ADE4-C138BA09742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GROWTH!$H$1</c15:sqref>
                        </c15:formulaRef>
                      </c:ext>
                    </c:extLst>
                    <c:strCache>
                      <c:ptCount val="1"/>
                      <c:pt idx="0">
                        <c:v>GSDP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GROWTH!$H$2:$H$21</c15:sqref>
                        </c15:fullRef>
                        <c15:formulaRef>
                          <c15:sqref>GROWTH!$H$3:$H$21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142470.04</c:v>
                      </c:pt>
                      <c:pt idx="1">
                        <c:v>175141.08</c:v>
                      </c:pt>
                      <c:pt idx="2">
                        <c:v>201019.75</c:v>
                      </c:pt>
                      <c:pt idx="3">
                        <c:v>230315.55</c:v>
                      </c:pt>
                      <c:pt idx="4">
                        <c:v>276996.7</c:v>
                      </c:pt>
                      <c:pt idx="5">
                        <c:v>364047.88</c:v>
                      </c:pt>
                      <c:pt idx="6">
                        <c:v>412313</c:v>
                      </c:pt>
                      <c:pt idx="7">
                        <c:v>465041.21</c:v>
                      </c:pt>
                      <c:pt idx="8">
                        <c:v>512564.05</c:v>
                      </c:pt>
                      <c:pt idx="9">
                        <c:v>561993.61</c:v>
                      </c:pt>
                      <c:pt idx="10">
                        <c:v>634886.40000000002</c:v>
                      </c:pt>
                      <c:pt idx="11">
                        <c:v>701588.26</c:v>
                      </c:pt>
                      <c:pt idx="12">
                        <c:v>788285.58</c:v>
                      </c:pt>
                      <c:pt idx="13">
                        <c:v>812934.63</c:v>
                      </c:pt>
                      <c:pt idx="14">
                        <c:v>771723.89</c:v>
                      </c:pt>
                      <c:pt idx="15">
                        <c:v>924465.42</c:v>
                      </c:pt>
                      <c:pt idx="16">
                        <c:v>1038734.06</c:v>
                      </c:pt>
                      <c:pt idx="17">
                        <c:v>1135371.56</c:v>
                      </c:pt>
                      <c:pt idx="18">
                        <c:v>1248533.01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D83-4630-ADE4-C138BA09742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GROWTH!$J$1</c15:sqref>
                        </c15:formulaRef>
                      </c:ext>
                    </c:extLst>
                    <c:strCache>
                      <c:ptCount val="1"/>
                      <c:pt idx="0">
                        <c:v>CAPITAL EXPENDITURE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GROWTH!$J$2:$J$21</c15:sqref>
                        </c15:fullRef>
                        <c15:formulaRef>
                          <c15:sqref>GROWTH!$J$3:$J$21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1251.97</c:v>
                      </c:pt>
                      <c:pt idx="1">
                        <c:v>2367.7399999999998</c:v>
                      </c:pt>
                      <c:pt idx="2">
                        <c:v>2679.29</c:v>
                      </c:pt>
                      <c:pt idx="3">
                        <c:v>2936.06</c:v>
                      </c:pt>
                      <c:pt idx="4">
                        <c:v>4125.43</c:v>
                      </c:pt>
                      <c:pt idx="5">
                        <c:v>4851.46</c:v>
                      </c:pt>
                      <c:pt idx="6">
                        <c:v>5739.44</c:v>
                      </c:pt>
                      <c:pt idx="7">
                        <c:v>5758.5</c:v>
                      </c:pt>
                      <c:pt idx="8">
                        <c:v>4997.68</c:v>
                      </c:pt>
                      <c:pt idx="9">
                        <c:v>8342.2900000000009</c:v>
                      </c:pt>
                      <c:pt idx="10">
                        <c:v>11286.25</c:v>
                      </c:pt>
                      <c:pt idx="11">
                        <c:v>10289.459999999999</c:v>
                      </c:pt>
                      <c:pt idx="12">
                        <c:v>9753.43</c:v>
                      </c:pt>
                      <c:pt idx="13">
                        <c:v>9665.02</c:v>
                      </c:pt>
                      <c:pt idx="14">
                        <c:v>15438.16</c:v>
                      </c:pt>
                      <c:pt idx="15">
                        <c:v>17046.02</c:v>
                      </c:pt>
                      <c:pt idx="16">
                        <c:v>16787.490000000002</c:v>
                      </c:pt>
                      <c:pt idx="17">
                        <c:v>16880.169999999998</c:v>
                      </c:pt>
                      <c:pt idx="18" formatCode="General">
                        <c:v>17886.77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D83-4630-ADE4-C138BA09742A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GROWTH!$K$1</c15:sqref>
                        </c15:formulaRef>
                      </c:ext>
                    </c:extLst>
                    <c:strCache>
                      <c:ptCount val="1"/>
                      <c:pt idx="0">
                        <c:v>CAPITAL EXPENDITURE GROWTH %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GROWTH!$K$2:$K$21</c15:sqref>
                        </c15:fullRef>
                        <c15:formulaRef>
                          <c15:sqref>GROWTH!$K$3:$K$21</c15:sqref>
                        </c15:formulaRef>
                      </c:ext>
                    </c:extLst>
                    <c:numCache>
                      <c:formatCode>0.00%</c:formatCode>
                      <c:ptCount val="19"/>
                      <c:pt idx="0">
                        <c:v>0.13396916834230033</c:v>
                      </c:pt>
                      <c:pt idx="1">
                        <c:v>0.89121145075361208</c:v>
                      </c:pt>
                      <c:pt idx="2">
                        <c:v>0.13158117022983951</c:v>
                      </c:pt>
                      <c:pt idx="3">
                        <c:v>9.5835090639684387E-2</c:v>
                      </c:pt>
                      <c:pt idx="4">
                        <c:v>0.40509049542584291</c:v>
                      </c:pt>
                      <c:pt idx="5">
                        <c:v>0.17598892721485995</c:v>
                      </c:pt>
                      <c:pt idx="6">
                        <c:v>0.18303356103111218</c:v>
                      </c:pt>
                      <c:pt idx="7">
                        <c:v>3.320881479726315E-3</c:v>
                      </c:pt>
                      <c:pt idx="8">
                        <c:v>-0.13212121212121208</c:v>
                      </c:pt>
                      <c:pt idx="9">
                        <c:v>0.66923252389108556</c:v>
                      </c:pt>
                      <c:pt idx="10">
                        <c:v>0.3528959074786418</c:v>
                      </c:pt>
                      <c:pt idx="11">
                        <c:v>-8.8318972200686754E-2</c:v>
                      </c:pt>
                      <c:pt idx="12">
                        <c:v>-5.2095056494704181E-2</c:v>
                      </c:pt>
                      <c:pt idx="13">
                        <c:v>-9.0645034618590439E-3</c:v>
                      </c:pt>
                      <c:pt idx="14">
                        <c:v>0.59732313021597461</c:v>
                      </c:pt>
                      <c:pt idx="15">
                        <c:v>0.10414842183265367</c:v>
                      </c:pt>
                      <c:pt idx="16">
                        <c:v>-1.5166590206980798E-2</c:v>
                      </c:pt>
                      <c:pt idx="17">
                        <c:v>5.5207776743275289E-3</c:v>
                      </c:pt>
                      <c:pt idx="18">
                        <c:v>5.9632100861543594E-2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D83-4630-ADE4-C138BA09742A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GROWTH!$L$1</c15:sqref>
                        </c15:formulaRef>
                      </c:ext>
                    </c:extLst>
                    <c:strCache>
                      <c:ptCount val="1"/>
                      <c:pt idx="0">
                        <c:v>FISCAL DEFICIT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GROWTH!$A$2:$A$21</c15:sqref>
                        </c15:fullRef>
                        <c15:formulaRef>
                          <c15:sqref>GROWTH!$A$3:$A$21</c15:sqref>
                        </c15:formulaRef>
                      </c:ext>
                    </c:extLst>
                    <c:strCache>
                      <c:ptCount val="19"/>
                      <c:pt idx="0">
                        <c:v>2006-2007</c:v>
                      </c:pt>
                      <c:pt idx="1">
                        <c:v>2007-2008</c:v>
                      </c:pt>
                      <c:pt idx="2">
                        <c:v>2008-2009</c:v>
                      </c:pt>
                      <c:pt idx="3">
                        <c:v>2009-2010</c:v>
                      </c:pt>
                      <c:pt idx="4">
                        <c:v>2010-2011</c:v>
                      </c:pt>
                      <c:pt idx="5">
                        <c:v>2011-2012</c:v>
                      </c:pt>
                      <c:pt idx="6">
                        <c:v>2012-2013</c:v>
                      </c:pt>
                      <c:pt idx="7">
                        <c:v>2013-2014</c:v>
                      </c:pt>
                      <c:pt idx="8">
                        <c:v>2014-2015</c:v>
                      </c:pt>
                      <c:pt idx="9">
                        <c:v>2015-2016</c:v>
                      </c:pt>
                      <c:pt idx="10">
                        <c:v>2016-2017</c:v>
                      </c:pt>
                      <c:pt idx="11">
                        <c:v>2017-2018</c:v>
                      </c:pt>
                      <c:pt idx="12">
                        <c:v>2018-2019</c:v>
                      </c:pt>
                      <c:pt idx="13">
                        <c:v>2019-2020</c:v>
                      </c:pt>
                      <c:pt idx="14">
                        <c:v>2020-2021</c:v>
                      </c:pt>
                      <c:pt idx="15">
                        <c:v>2021-2022</c:v>
                      </c:pt>
                      <c:pt idx="16">
                        <c:v>2022-2023</c:v>
                      </c:pt>
                      <c:pt idx="17">
                        <c:v>2023-2024</c:v>
                      </c:pt>
                      <c:pt idx="18">
                        <c:v>2024-2025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GROWTH!$L$2:$L$21</c15:sqref>
                        </c15:fullRef>
                        <c15:formulaRef>
                          <c15:sqref>GROWTH!$L$3:$L$21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3821.87</c:v>
                      </c:pt>
                      <c:pt idx="1">
                        <c:v>6100.21</c:v>
                      </c:pt>
                      <c:pt idx="2">
                        <c:v>6346.21</c:v>
                      </c:pt>
                      <c:pt idx="3">
                        <c:v>7871.6</c:v>
                      </c:pt>
                      <c:pt idx="4">
                        <c:v>7730.46</c:v>
                      </c:pt>
                      <c:pt idx="5">
                        <c:v>12814.77</c:v>
                      </c:pt>
                      <c:pt idx="6">
                        <c:v>15002.47</c:v>
                      </c:pt>
                      <c:pt idx="7">
                        <c:v>16944.12</c:v>
                      </c:pt>
                      <c:pt idx="8">
                        <c:v>18641.73</c:v>
                      </c:pt>
                      <c:pt idx="9">
                        <c:v>17818.39</c:v>
                      </c:pt>
                      <c:pt idx="10">
                        <c:v>26448.35</c:v>
                      </c:pt>
                      <c:pt idx="11">
                        <c:v>26837.41</c:v>
                      </c:pt>
                      <c:pt idx="12">
                        <c:v>26958.3</c:v>
                      </c:pt>
                      <c:pt idx="13">
                        <c:v>23837.48</c:v>
                      </c:pt>
                      <c:pt idx="14">
                        <c:v>35203.69</c:v>
                      </c:pt>
                      <c:pt idx="15">
                        <c:v>37306.47</c:v>
                      </c:pt>
                      <c:pt idx="16">
                        <c:v>25554.54</c:v>
                      </c:pt>
                      <c:pt idx="17">
                        <c:v>34258.050000000003</c:v>
                      </c:pt>
                      <c:pt idx="18">
                        <c:v>48248.14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D83-4630-ADE4-C138BA09742A}"/>
                  </c:ext>
                </c:extLst>
              </c15:ser>
            </c15:filteredLineSeries>
          </c:ext>
        </c:extLst>
      </c:lineChart>
      <c:catAx>
        <c:axId val="129406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7553368328958878"/>
              <c:y val="0.80981408573928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4062048"/>
        <c:crosses val="autoZero"/>
        <c:auto val="1"/>
        <c:lblAlgn val="ctr"/>
        <c:lblOffset val="100"/>
        <c:noMultiLvlLbl val="0"/>
      </c:catAx>
      <c:valAx>
        <c:axId val="129406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GROWTH RATE%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406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Trend in Fiscal Stress Score in Kerala (2005–06 to 2024–25)</a:t>
            </a:r>
            <a:endParaRPr lang="en-US" b="1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'FISCAL STRESS'!$B$1</c:f>
              <c:strCache>
                <c:ptCount val="1"/>
                <c:pt idx="0">
                  <c:v>FISCAL STRESS 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'FISCAL STRESS'!$A$2:$A$21</c:f>
              <c:strCache>
                <c:ptCount val="20"/>
                <c:pt idx="0">
                  <c:v>2005-2006</c:v>
                </c:pt>
                <c:pt idx="1">
                  <c:v>2006-2007</c:v>
                </c:pt>
                <c:pt idx="2">
                  <c:v>2007-2008</c:v>
                </c:pt>
                <c:pt idx="3">
                  <c:v>2008-2009</c:v>
                </c:pt>
                <c:pt idx="4">
                  <c:v>2009-2010</c:v>
                </c:pt>
                <c:pt idx="5">
                  <c:v>2010-2011</c:v>
                </c:pt>
                <c:pt idx="6">
                  <c:v>2011-2012</c:v>
                </c:pt>
                <c:pt idx="7">
                  <c:v>2012-2013</c:v>
                </c:pt>
                <c:pt idx="8">
                  <c:v>2013-2014</c:v>
                </c:pt>
                <c:pt idx="9">
                  <c:v>2014-2015</c:v>
                </c:pt>
                <c:pt idx="10">
                  <c:v>2015-2016</c:v>
                </c:pt>
                <c:pt idx="11">
                  <c:v>2016-2017</c:v>
                </c:pt>
                <c:pt idx="12">
                  <c:v>2017-2018</c:v>
                </c:pt>
                <c:pt idx="13">
                  <c:v>2018-2019</c:v>
                </c:pt>
                <c:pt idx="14">
                  <c:v>2019-2020</c:v>
                </c:pt>
                <c:pt idx="15">
                  <c:v>2020-2021</c:v>
                </c:pt>
                <c:pt idx="16">
                  <c:v>2021-2022</c:v>
                </c:pt>
                <c:pt idx="17">
                  <c:v>2022-2023</c:v>
                </c:pt>
                <c:pt idx="18">
                  <c:v>2023-2024</c:v>
                </c:pt>
                <c:pt idx="19">
                  <c:v>2024-2025</c:v>
                </c:pt>
              </c:strCache>
            </c:strRef>
          </c:cat>
          <c:val>
            <c:numRef>
              <c:f>'FISCAL STRESS'!$B$2:$B$21</c:f>
              <c:numCache>
                <c:formatCode>General</c:formatCode>
                <c:ptCount val="20"/>
                <c:pt idx="0">
                  <c:v>0.36402616599999998</c:v>
                </c:pt>
                <c:pt idx="1">
                  <c:v>0.29943883599999999</c:v>
                </c:pt>
                <c:pt idx="2">
                  <c:v>-6.9327293999999998E-2</c:v>
                </c:pt>
                <c:pt idx="3">
                  <c:v>-7.2341039999999995E-2</c:v>
                </c:pt>
                <c:pt idx="4">
                  <c:v>0.14328518600000001</c:v>
                </c:pt>
                <c:pt idx="5">
                  <c:v>-4.4761304000000002E-2</c:v>
                </c:pt>
                <c:pt idx="6">
                  <c:v>0.24160543700000001</c:v>
                </c:pt>
                <c:pt idx="7">
                  <c:v>0.130729291</c:v>
                </c:pt>
                <c:pt idx="8">
                  <c:v>0.312795404</c:v>
                </c:pt>
                <c:pt idx="9">
                  <c:v>0.44377101400000002</c:v>
                </c:pt>
                <c:pt idx="10">
                  <c:v>-0.241018331</c:v>
                </c:pt>
                <c:pt idx="11">
                  <c:v>-0.48916545500000003</c:v>
                </c:pt>
                <c:pt idx="12">
                  <c:v>-0.14994487300000001</c:v>
                </c:pt>
                <c:pt idx="13">
                  <c:v>9.6508040000000003E-2</c:v>
                </c:pt>
                <c:pt idx="14">
                  <c:v>0.27994607399999999</c:v>
                </c:pt>
                <c:pt idx="15">
                  <c:v>-0.63108540499999999</c:v>
                </c:pt>
                <c:pt idx="16">
                  <c:v>-0.391219129</c:v>
                </c:pt>
                <c:pt idx="17">
                  <c:v>-0.45541573400000002</c:v>
                </c:pt>
                <c:pt idx="18">
                  <c:v>5.8989680000000001E-3</c:v>
                </c:pt>
                <c:pt idx="19">
                  <c:v>0.22627415200000001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A2-416D-B2ED-D6FE2E2C7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681664"/>
        <c:axId val="1362682144"/>
      </c:lineChart>
      <c:catAx>
        <c:axId val="136268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62682144"/>
        <c:crosses val="autoZero"/>
        <c:auto val="1"/>
        <c:lblAlgn val="ctr"/>
        <c:lblOffset val="100"/>
        <c:noMultiLvlLbl val="0"/>
      </c:catAx>
      <c:valAx>
        <c:axId val="136268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FISCAL</a:t>
                </a:r>
                <a:r>
                  <a:rPr lang="en-IN" b="1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STRESS CSORE</a:t>
                </a:r>
                <a:endParaRPr lang="en-IN" b="1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5894641235240689E-2"/>
              <c:y val="0.33928018447865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6268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0</xdr:row>
      <xdr:rowOff>175259</xdr:rowOff>
    </xdr:from>
    <xdr:to>
      <xdr:col>10</xdr:col>
      <xdr:colOff>173935</xdr:colOff>
      <xdr:row>20</xdr:row>
      <xdr:rowOff>149086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016035-14D5-4C49-AE09-697CE6ED7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243840</xdr:colOff>
      <xdr:row>22</xdr:row>
      <xdr:rowOff>160020</xdr:rowOff>
    </xdr:from>
    <xdr:to>
      <xdr:col>10</xdr:col>
      <xdr:colOff>167640</xdr:colOff>
      <xdr:row>42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71D5D6-E647-4AF1-867B-D4E6F0A58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583235</xdr:colOff>
      <xdr:row>1</xdr:row>
      <xdr:rowOff>60279</xdr:rowOff>
    </xdr:from>
    <xdr:to>
      <xdr:col>21</xdr:col>
      <xdr:colOff>517651</xdr:colOff>
      <xdr:row>21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29B530-6308-470B-9178-56D8E4C7F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318932</xdr:colOff>
      <xdr:row>45</xdr:row>
      <xdr:rowOff>34079</xdr:rowOff>
    </xdr:from>
    <xdr:to>
      <xdr:col>10</xdr:col>
      <xdr:colOff>207630</xdr:colOff>
      <xdr:row>64</xdr:row>
      <xdr:rowOff>25518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A66907-C984-44C9-A827-0562E414D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129918</xdr:colOff>
      <xdr:row>45</xdr:row>
      <xdr:rowOff>68024</xdr:rowOff>
    </xdr:from>
    <xdr:to>
      <xdr:col>21</xdr:col>
      <xdr:colOff>591206</xdr:colOff>
      <xdr:row>64</xdr:row>
      <xdr:rowOff>42625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D5A483A-7EC7-4B88-B4D2-752DC3E44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239576</xdr:colOff>
      <xdr:row>66</xdr:row>
      <xdr:rowOff>80781</xdr:rowOff>
    </xdr:from>
    <xdr:to>
      <xdr:col>10</xdr:col>
      <xdr:colOff>160408</xdr:colOff>
      <xdr:row>85</xdr:row>
      <xdr:rowOff>61908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4701F0D-514F-4122-AF10-DFB68AA91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23</xdr:row>
      <xdr:rowOff>0</xdr:rowOff>
    </xdr:from>
    <xdr:to>
      <xdr:col>21</xdr:col>
      <xdr:colOff>544016</xdr:colOff>
      <xdr:row>42</xdr:row>
      <xdr:rowOff>18496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C5A75D-7563-4D4C-9584-2D4ABFCE1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35441</xdr:colOff>
      <xdr:row>66</xdr:row>
      <xdr:rowOff>159488</xdr:rowOff>
    </xdr:from>
    <xdr:to>
      <xdr:col>21</xdr:col>
      <xdr:colOff>565872</xdr:colOff>
      <xdr:row>85</xdr:row>
      <xdr:rowOff>140615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0AE733-9CA0-4B01-9DF1-E2ADDE67E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531628</xdr:colOff>
      <xdr:row>45</xdr:row>
      <xdr:rowOff>53162</xdr:rowOff>
    </xdr:from>
    <xdr:to>
      <xdr:col>33</xdr:col>
      <xdr:colOff>459547</xdr:colOff>
      <xdr:row>64</xdr:row>
      <xdr:rowOff>34291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FEEFE0-DAB0-44C7-9C46-D3AF25024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438727</xdr:colOff>
      <xdr:row>45</xdr:row>
      <xdr:rowOff>28420</xdr:rowOff>
    </xdr:from>
    <xdr:to>
      <xdr:col>44</xdr:col>
      <xdr:colOff>586153</xdr:colOff>
      <xdr:row>64</xdr:row>
      <xdr:rowOff>117231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6C1AEA3-FA31-4305-962A-587228AC7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9</xdr:col>
      <xdr:colOff>76200</xdr:colOff>
      <xdr:row>18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D9F85D-F097-41A2-8451-8F4133AA7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441960</xdr:colOff>
      <xdr:row>1</xdr:row>
      <xdr:rowOff>144780</xdr:rowOff>
    </xdr:from>
    <xdr:to>
      <xdr:col>18</xdr:col>
      <xdr:colOff>441960</xdr:colOff>
      <xdr:row>18</xdr:row>
      <xdr:rowOff>90715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D6E417-1452-4B65-9E67-8D3CDB45D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51487</xdr:colOff>
      <xdr:row>1</xdr:row>
      <xdr:rowOff>175054</xdr:rowOff>
    </xdr:from>
    <xdr:to>
      <xdr:col>28</xdr:col>
      <xdr:colOff>66727</xdr:colOff>
      <xdr:row>18</xdr:row>
      <xdr:rowOff>104003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3AE780-EFCE-4883-BDD0-3C593512A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2</xdr:row>
      <xdr:rowOff>19050</xdr:rowOff>
    </xdr:from>
    <xdr:to>
      <xdr:col>19</xdr:col>
      <xdr:colOff>30480</xdr:colOff>
      <xdr:row>20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A7AE0-2B73-0FC9-ED94-2B93EA72D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hima Lina 42-20" refreshedDate="46198.513820486114" createdVersion="8" refreshedVersion="8" minRefreshableVersion="3" recordCount="20" xr:uid="{57DC0DDD-D210-47C0-A09C-EE88E29B42C4}">
  <cacheSource type="worksheet">
    <worksheetSource ref="A1:Q21" sheet="DATA"/>
  </cacheSource>
  <cacheFields count="17">
    <cacheField name="YEAR" numFmtId="0">
      <sharedItems/>
    </cacheField>
    <cacheField name="OWN TAX REVENUE" numFmtId="0">
      <sharedItems containsSemiMixedTypes="0" containsString="0" containsNumber="1" minValue="9779.64" maxValue="76642.2"/>
    </cacheField>
    <cacheField name="OWN NON-TAX REVENUE" numFmtId="0">
      <sharedItems containsSemiMixedTypes="0" containsString="0" containsNumber="1" minValue="936.77" maxValue="16486.62"/>
    </cacheField>
    <cacheField name="REVENUE RECEIPT" numFmtId="0">
      <sharedItems containsSemiMixedTypes="0" containsString="0" containsNumber="1" minValue="15294.52" maxValue="132724.65"/>
    </cacheField>
    <cacheField name="REVENUE EXPENDITURE" numFmtId="0">
      <sharedItems containsSemiMixedTypes="0" containsString="0" containsNumber="1" minValue="18423.580000000002" maxValue="155920.79"/>
    </cacheField>
    <cacheField name="CAPITAL EXPENDITURE" numFmtId="0">
      <sharedItems containsSemiMixedTypes="0" containsString="0" containsNumber="1" minValue="1104.06" maxValue="17886.77"/>
    </cacheField>
    <cacheField name="TOTAL EXPENDITURE" numFmtId="2">
      <sharedItems containsSemiMixedTypes="0" containsString="0" containsNumber="1" minValue="19527.640000000003" maxValue="173807.56"/>
    </cacheField>
    <cacheField name="REVENUE DEFICIT" numFmtId="2">
      <sharedItems containsSemiMixedTypes="0" containsString="0" containsNumber="1" minValue="2637.95" maxValue="31059.72"/>
    </cacheField>
    <cacheField name="FISCAL DEFICIT" numFmtId="2">
      <sharedItems containsSemiMixedTypes="0" containsString="0" containsNumber="1" minValue="3821.87" maxValue="48248.14"/>
    </cacheField>
    <cacheField name="GSDP AT CURRENT PRICES" numFmtId="0">
      <sharedItems containsSemiMixedTypes="0" containsString="0" containsNumber="1" minValue="124389.42" maxValue="1248533.01"/>
    </cacheField>
    <cacheField name="REV REC RATIO" numFmtId="2">
      <sharedItems containsSemiMixedTypes="0" containsString="0" containsNumber="1" minValue="10.000622250267938" maxValue="12.77753903631503"/>
    </cacheField>
    <cacheField name="REV EXP RATIO" numFmtId="2">
      <sharedItems containsSemiMixedTypes="0" containsString="0" containsNumber="1" minValue="12.488319391731581" maxValue="15.99617837410735"/>
    </cacheField>
    <cacheField name="CAP EXP RATIO" numFmtId="2">
      <sharedItems containsSemiMixedTypes="0" containsString="0" containsNumber="1" minValue="0.87876019407308359" maxValue="2.0004771395634777"/>
    </cacheField>
    <cacheField name="TOT EXP RATIO" numFmtId="2">
      <sharedItems containsSemiMixedTypes="0" containsString="0" containsNumber="1" minValue="13.920942306523399" maxValue="17.996655513670827"/>
    </cacheField>
    <cacheField name="REV DEF RATIO" numFmtId="2">
      <sharedItems containsSemiMixedTypes="0" containsString="0" containsNumber="1" minValue="0.88822446045525916" maxValue="3.3469872236299434"/>
    </cacheField>
    <cacheField name="FIS DEF RATIO" numFmtId="2">
      <sharedItems containsSemiMixedTypes="0" containsString="0" containsNumber="1" minValue="2.4601619398135455" maxValue="4.5616949865320358"/>
    </cacheField>
    <cacheField name="PERIOD" numFmtId="0">
      <sharedItems count="4">
        <s v="PRE-GST"/>
        <s v="GST"/>
        <s v="COVID"/>
        <s v="RECOVE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2005-2006"/>
    <n v="9779.64"/>
    <n v="936.77"/>
    <n v="15294.52"/>
    <n v="18423.580000000002"/>
    <n v="1104.06"/>
    <n v="19527.640000000003"/>
    <n v="3129.15"/>
    <n v="4181.72"/>
    <n v="124389.42"/>
    <n v="12.29567595057522"/>
    <n v="14.811211435827904"/>
    <n v="0.88758352599441326"/>
    <n v="15.698794961822319"/>
    <n v="2.515607838673096"/>
    <n v="3.3617971689232093"/>
    <x v="0"/>
  </r>
  <r>
    <s v="2006-2007"/>
    <n v="11941.82"/>
    <n v="937.57"/>
    <n v="18186.62"/>
    <n v="20824.57"/>
    <n v="1251.97"/>
    <n v="22076.54"/>
    <n v="2637.95"/>
    <n v="3821.87"/>
    <n v="142470.04"/>
    <n v="12.765224183273899"/>
    <n v="14.616806452781228"/>
    <n v="0.87876019407308359"/>
    <n v="15.495566646854314"/>
    <n v="1.8515822695073292"/>
    <n v="2.6825780353539592"/>
    <x v="0"/>
  </r>
  <r>
    <s v="2007-2008"/>
    <n v="13668.95"/>
    <n v="1209.55"/>
    <n v="21106.79"/>
    <n v="24891.64"/>
    <n v="2367.7399999999998"/>
    <n v="27259.379999999997"/>
    <n v="3784.84"/>
    <n v="6100.21"/>
    <n v="175141.08"/>
    <n v="12.051307437409889"/>
    <n v="14.212336705928729"/>
    <n v="1.3519044189975304"/>
    <n v="15.564241124926259"/>
    <n v="2.1610235588361113"/>
    <n v="3.4830263693703385"/>
    <x v="0"/>
  </r>
  <r>
    <s v="2008-2009"/>
    <n v="15990.18"/>
    <n v="1559.29"/>
    <n v="24512.18"/>
    <n v="28223.85"/>
    <n v="2679.29"/>
    <n v="30903.14"/>
    <n v="3711.67"/>
    <n v="6346.21"/>
    <n v="201019.75"/>
    <n v="12.193916269421289"/>
    <n v="14.040336832574907"/>
    <n v="1.3328491354705196"/>
    <n v="15.373185968045428"/>
    <n v="1.8464205631536206"/>
    <n v="3.1570082044177252"/>
    <x v="0"/>
  </r>
  <r>
    <s v="2009-2010"/>
    <n v="17625.02"/>
    <n v="1852.22"/>
    <n v="26109.4"/>
    <n v="31132.38"/>
    <n v="2936.06"/>
    <n v="34068.44"/>
    <n v="5022.97"/>
    <n v="7871.6"/>
    <n v="230315.55"/>
    <n v="11.336360050374369"/>
    <n v="13.5172722814417"/>
    <n v="1.2747988574805307"/>
    <n v="14.792071138922234"/>
    <n v="2.1809078891981026"/>
    <n v="3.4177457839907035"/>
    <x v="0"/>
  </r>
  <r>
    <s v="2010-2011"/>
    <n v="21721.69"/>
    <n v="1930.79"/>
    <n v="30990.95"/>
    <n v="34664.81"/>
    <n v="4125.43"/>
    <n v="38790.239999999998"/>
    <n v="3673.8599999999969"/>
    <n v="7730.46"/>
    <n v="276996.7"/>
    <n v="11.188201881105444"/>
    <n v="12.514520931115786"/>
    <n v="1.4893426528186076"/>
    <n v="14.003863583934391"/>
    <n v="1.3263190500103419"/>
    <n v="2.7908130313465827"/>
    <x v="0"/>
  </r>
  <r>
    <s v="2011-2012"/>
    <n v="25718.6"/>
    <n v="2592.1799999999998"/>
    <n v="38010.36"/>
    <n v="46044.62"/>
    <n v="4851.46"/>
    <n v="50896.08"/>
    <n v="8034.260000000002"/>
    <n v="12814.77"/>
    <n v="364047.88"/>
    <n v="10.441033195963124"/>
    <n v="12.64795718629099"/>
    <n v="1.3326433874577157"/>
    <n v="13.980600573748706"/>
    <n v="2.2069239903278661"/>
    <n v="3.5200781831225063"/>
    <x v="0"/>
  </r>
  <r>
    <s v="2012-2013"/>
    <n v="30076.61"/>
    <n v="4198.5200000000004"/>
    <n v="44137.31"/>
    <n v="53488.74"/>
    <n v="5739.44"/>
    <n v="59228.18"/>
    <n v="9351.43"/>
    <n v="15002.47"/>
    <n v="412313"/>
    <n v="10.704806785136533"/>
    <n v="12.972848297288712"/>
    <n v="1.3920104386715917"/>
    <n v="14.364858735960301"/>
    <n v="2.2680415121521755"/>
    <n v="3.6386119283165943"/>
    <x v="0"/>
  </r>
  <r>
    <s v="2013-2014"/>
    <n v="31995.02"/>
    <n v="5575.03"/>
    <n v="49176.94"/>
    <n v="60485.5"/>
    <n v="5758.5"/>
    <n v="66244"/>
    <n v="11308.559999999998"/>
    <n v="16944.12"/>
    <n v="465041.21"/>
    <n v="10.57474884860204"/>
    <n v="13.006481726640956"/>
    <n v="1.2382773561078597"/>
    <n v="14.244759082748818"/>
    <n v="2.4317328780389156"/>
    <n v="3.6435738673568299"/>
    <x v="0"/>
  </r>
  <r>
    <s v="2014-2015"/>
    <n v="35232.5"/>
    <n v="7283.69"/>
    <n v="57950.47"/>
    <n v="71746.429999999993"/>
    <n v="4997.68"/>
    <n v="76744.109999999986"/>
    <n v="13795.959999999992"/>
    <n v="18641.73"/>
    <n v="512564.05"/>
    <n v="11.305995806767955"/>
    <n v="13.997554061780178"/>
    <n v="0.97503521754988487"/>
    <n v="14.972589279330064"/>
    <n v="2.6915582550122257"/>
    <n v="3.6369562008884548"/>
    <x v="0"/>
  </r>
  <r>
    <s v="2015-2016"/>
    <n v="38995.15"/>
    <n v="8425.49"/>
    <n v="69032.66"/>
    <n v="78689.47"/>
    <n v="8342.2900000000009"/>
    <n v="87031.760000000009"/>
    <n v="9656.8099999999977"/>
    <n v="17818.39"/>
    <n v="561993.61"/>
    <n v="12.283531124135024"/>
    <n v="14.00184425584483"/>
    <n v="1.4844101163356647"/>
    <n v="15.486254372180497"/>
    <n v="1.7183131317098068"/>
    <n v="3.1705680781672942"/>
    <x v="0"/>
  </r>
  <r>
    <s v="2016-2017"/>
    <n v="42176.38"/>
    <n v="9699.98"/>
    <n v="75611.72"/>
    <n v="91096.31"/>
    <n v="11286.25"/>
    <n v="102382.56"/>
    <n v="15484.589999999997"/>
    <n v="26448.35"/>
    <n v="634886.40000000002"/>
    <n v="11.909488059596175"/>
    <n v="14.348442493019222"/>
    <n v="1.7776802275178676"/>
    <n v="16.12612272053709"/>
    <n v="2.4389544334230497"/>
    <n v="4.1658397470791622"/>
    <x v="0"/>
  </r>
  <r>
    <s v="2017-2018"/>
    <n v="46459.61"/>
    <n v="11199.61"/>
    <n v="83020.14"/>
    <n v="99948.35"/>
    <n v="10289.459999999999"/>
    <n v="110237.81"/>
    <n v="16928.210000000006"/>
    <n v="26837.41"/>
    <n v="701588.26"/>
    <n v="11.833171210704124"/>
    <n v="14.246012326375018"/>
    <n v="1.4665952363570049"/>
    <n v="15.712607562732019"/>
    <n v="2.4128411156708931"/>
    <n v="3.8252364713172367"/>
    <x v="1"/>
  </r>
  <r>
    <s v="2018-2019"/>
    <n v="50644.1"/>
    <n v="11783.24"/>
    <n v="92854.47"/>
    <n v="110316.39"/>
    <n v="9753.43"/>
    <n v="120069.82"/>
    <n v="17461.919999999998"/>
    <n v="26958.3"/>
    <n v="788285.58"/>
    <n v="11.779293235327229"/>
    <n v="13.994470125915534"/>
    <n v="1.2372965137837484"/>
    <n v="15.231766639699284"/>
    <n v="2.2151768905883067"/>
    <n v="3.4198646637681742"/>
    <x v="1"/>
  </r>
  <r>
    <s v="2019-2020"/>
    <n v="50323.14"/>
    <n v="12265.22"/>
    <n v="90224.67"/>
    <n v="104719.92"/>
    <n v="9665.02"/>
    <n v="114384.94"/>
    <n v="14495.25"/>
    <n v="23837.48"/>
    <n v="812934.63"/>
    <n v="11.098637783458678"/>
    <n v="12.881714732708582"/>
    <n v="1.1889049430702687"/>
    <n v="14.07061967577885"/>
    <n v="1.7830769492499046"/>
    <n v="2.9322751326265926"/>
    <x v="1"/>
  </r>
  <r>
    <s v="2020-2021"/>
    <n v="47660.84"/>
    <n v="7327.31"/>
    <n v="97616.83"/>
    <n v="123446.33"/>
    <n v="15438.16"/>
    <n v="138884.49"/>
    <n v="25829.5"/>
    <n v="35203.69"/>
    <n v="771723.89"/>
    <n v="12.649191150477407"/>
    <n v="15.99617837410735"/>
    <n v="2.0004771395634777"/>
    <n v="17.996655513670827"/>
    <n v="3.3469872236299434"/>
    <n v="4.5616949865320358"/>
    <x v="2"/>
  </r>
  <r>
    <s v="2021-2022"/>
    <n v="58340.52"/>
    <n v="10462.51"/>
    <n v="116640.24"/>
    <n v="146179.51"/>
    <n v="17046.02"/>
    <n v="163225.53"/>
    <n v="29539.270000000004"/>
    <n v="37306.47"/>
    <n v="924465.42"/>
    <n v="12.617047374254408"/>
    <n v="15.812328599592185"/>
    <n v="1.8438785952642773"/>
    <n v="17.65620719485646"/>
    <n v="3.1952812253377747"/>
    <n v="4.0354640847464038"/>
    <x v="2"/>
  </r>
  <r>
    <s v="2022-2023"/>
    <n v="71968.160000000003"/>
    <n v="15117.96"/>
    <n v="132724.65"/>
    <n v="141950.94"/>
    <n v="16787.490000000002"/>
    <n v="158738.43"/>
    <n v="9226.2900000000081"/>
    <n v="25554.54"/>
    <n v="1038734.06"/>
    <n v="12.77753903631503"/>
    <n v="13.665763496770289"/>
    <n v="1.6161489881250262"/>
    <n v="15.281912484895313"/>
    <n v="0.88822446045525916"/>
    <n v="2.4601619398135455"/>
    <x v="3"/>
  </r>
  <r>
    <s v="2023-2024"/>
    <n v="74329.009999999995"/>
    <n v="16345.96"/>
    <n v="124486.15"/>
    <n v="142626.34"/>
    <n v="16880.169999999998"/>
    <n v="159506.51"/>
    <n v="18140.190000000002"/>
    <n v="34258.050000000003"/>
    <n v="1135371.56"/>
    <n v="10.964353378730042"/>
    <n v="12.562084961860414"/>
    <n v="1.4867529357525915"/>
    <n v="14.048837897613007"/>
    <n v="1.597731583130372"/>
    <n v="3.0173426221808834"/>
    <x v="3"/>
  </r>
  <r>
    <s v="2024-2025"/>
    <n v="76642.2"/>
    <n v="16486.62"/>
    <n v="124861.07"/>
    <n v="155920.79"/>
    <n v="17886.77"/>
    <n v="173807.56"/>
    <n v="31059.72"/>
    <n v="48248.14"/>
    <n v="1248533.01"/>
    <n v="10.000622250267938"/>
    <n v="12.488319391731581"/>
    <n v="1.4326229147918164"/>
    <n v="13.920942306523399"/>
    <n v="2.4876971414636446"/>
    <n v="3.864386412979180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84368-7594-4C04-B561-D01F9FCA57DF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ERIOD">
  <location ref="A3:G7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6"/>
  </rowFields>
  <rowItems count="4">
    <i>
      <x/>
    </i>
    <i>
      <x v="1"/>
    </i>
    <i>
      <x v="2"/>
    </i>
    <i>
      <x v="3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REVENUE RECEIPT RATIO" fld="10" subtotal="average" baseField="16" baseItem="0" numFmtId="2"/>
    <dataField name="REVENUE EXP RATIO" fld="11" subtotal="average" baseField="16" baseItem="0" numFmtId="2"/>
    <dataField name="CAPITAL EXP RATIO" fld="12" subtotal="average" baseField="16" baseItem="0" numFmtId="2"/>
    <dataField name="TOTAL EXP RATIO" fld="13" subtotal="average" baseField="16" baseItem="0" numFmtId="2"/>
    <dataField name="REVENUE DEFICIT RATIO" fld="14" subtotal="average" baseField="16" baseItem="0" numFmtId="2"/>
    <dataField name="FISCAL DEFICIT RATIO" fld="15" subtotal="average" baseField="16" baseItem="0" numFmtId="2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33AA-A3B6-41F3-A6BA-201E7124AC1F}">
  <dimension ref="A1:R27"/>
  <sheetViews>
    <sheetView zoomScale="84" zoomScaleNormal="111" workbookViewId="0">
      <selection activeCell="R2" sqref="R2"/>
    </sheetView>
  </sheetViews>
  <sheetFormatPr defaultRowHeight="14.4" x14ac:dyDescent="0.3"/>
  <cols>
    <col min="1" max="1" width="10.88671875" customWidth="1"/>
    <col min="2" max="2" width="17.44140625" customWidth="1"/>
    <col min="3" max="3" width="22" customWidth="1"/>
    <col min="4" max="4" width="16.6640625" customWidth="1"/>
    <col min="5" max="7" width="21.44140625" customWidth="1"/>
    <col min="8" max="9" width="19.88671875" customWidth="1"/>
    <col min="10" max="10" width="23.33203125" customWidth="1"/>
    <col min="11" max="11" width="21.77734375" customWidth="1"/>
    <col min="12" max="12" width="27.21875" customWidth="1"/>
    <col min="13" max="13" width="26.6640625" customWidth="1"/>
    <col min="14" max="14" width="28.109375" customWidth="1"/>
    <col min="15" max="15" width="22.6640625" customWidth="1"/>
    <col min="16" max="16" width="20.109375" customWidth="1"/>
    <col min="17" max="17" width="11" customWidth="1"/>
    <col min="18" max="18" width="45.88671875" customWidth="1"/>
  </cols>
  <sheetData>
    <row r="1" spans="1:18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40</v>
      </c>
      <c r="G1" s="15" t="s">
        <v>41</v>
      </c>
      <c r="H1" s="15" t="s">
        <v>6</v>
      </c>
      <c r="I1" s="15" t="s">
        <v>42</v>
      </c>
      <c r="J1" s="15" t="s">
        <v>43</v>
      </c>
      <c r="K1" s="15" t="s">
        <v>44</v>
      </c>
      <c r="L1" s="15" t="s">
        <v>58</v>
      </c>
      <c r="M1" s="15" t="s">
        <v>59</v>
      </c>
      <c r="N1" s="15" t="s">
        <v>60</v>
      </c>
      <c r="O1" s="15" t="s">
        <v>48</v>
      </c>
      <c r="P1" s="15" t="s">
        <v>49</v>
      </c>
      <c r="Q1" s="15" t="s">
        <v>15</v>
      </c>
      <c r="R1" s="15" t="s">
        <v>61</v>
      </c>
    </row>
    <row r="2" spans="1:18" x14ac:dyDescent="0.3">
      <c r="A2" t="s">
        <v>7</v>
      </c>
      <c r="B2" s="3">
        <v>9779.64</v>
      </c>
      <c r="C2" s="3">
        <v>936.77</v>
      </c>
      <c r="D2" s="3">
        <v>15294.52</v>
      </c>
      <c r="E2" s="3">
        <v>18423.580000000002</v>
      </c>
      <c r="F2" s="3">
        <v>1104.06</v>
      </c>
      <c r="G2" s="3">
        <f>E2+F2</f>
        <v>19527.640000000003</v>
      </c>
      <c r="H2" s="3">
        <v>3129.15</v>
      </c>
      <c r="I2" s="3">
        <v>4181.72</v>
      </c>
      <c r="J2" s="2">
        <v>124389.42</v>
      </c>
      <c r="K2" s="7">
        <f t="shared" ref="K2:K21" si="0">(D2/J2)*100</f>
        <v>12.29567595057522</v>
      </c>
      <c r="L2" s="7">
        <f t="shared" ref="L2:L21" si="1">(E2/J2)*100</f>
        <v>14.811211435827904</v>
      </c>
      <c r="M2" s="7">
        <f>(F2/J2)*100</f>
        <v>0.88758352599441326</v>
      </c>
      <c r="N2" s="7">
        <f>(G2/J2)*100</f>
        <v>15.698794961822319</v>
      </c>
      <c r="O2" s="7">
        <f t="shared" ref="O2:O21" si="2">(H2/J2)*100</f>
        <v>2.515607838673096</v>
      </c>
      <c r="P2" s="7">
        <f>(I2/J2)*100</f>
        <v>3.3617971689232093</v>
      </c>
      <c r="Q2" t="s">
        <v>16</v>
      </c>
      <c r="R2" s="8">
        <f>F2/G2</f>
        <v>5.6538322091148736E-2</v>
      </c>
    </row>
    <row r="3" spans="1:18" x14ac:dyDescent="0.3">
      <c r="A3" t="str">
        <f t="shared" ref="A3:A21" si="3">LEFT(A2,4)+1&amp;"-"&amp;RIGHT(A2,4)+1</f>
        <v>2006-2007</v>
      </c>
      <c r="B3" s="3">
        <v>11941.82</v>
      </c>
      <c r="C3" s="3">
        <v>937.57</v>
      </c>
      <c r="D3" s="3">
        <v>18186.62</v>
      </c>
      <c r="E3" s="3">
        <v>20824.57</v>
      </c>
      <c r="F3" s="3">
        <v>1251.97</v>
      </c>
      <c r="G3" s="3">
        <f t="shared" ref="G3:G8" si="4">E3+F3</f>
        <v>22076.54</v>
      </c>
      <c r="H3" s="3">
        <v>2637.95</v>
      </c>
      <c r="I3" s="3">
        <v>3821.87</v>
      </c>
      <c r="J3" s="2">
        <v>142470.04</v>
      </c>
      <c r="K3" s="7">
        <f t="shared" si="0"/>
        <v>12.765224183273899</v>
      </c>
      <c r="L3" s="7">
        <f t="shared" si="1"/>
        <v>14.616806452781228</v>
      </c>
      <c r="M3" s="7">
        <f t="shared" ref="M3:M21" si="5">(F3/J3)*100</f>
        <v>0.87876019407308359</v>
      </c>
      <c r="N3" s="7">
        <f t="shared" ref="N3:N21" si="6">(G3/J3)*100</f>
        <v>15.495566646854314</v>
      </c>
      <c r="O3" s="7">
        <f t="shared" si="2"/>
        <v>1.8515822695073292</v>
      </c>
      <c r="P3" s="7">
        <f t="shared" ref="P3:P21" si="7">(I3/J3)*100</f>
        <v>2.6825780353539592</v>
      </c>
      <c r="Q3" t="s">
        <v>16</v>
      </c>
      <c r="R3" s="8">
        <f t="shared" ref="R3:R21" si="8">F3/G3</f>
        <v>5.6710426543289845E-2</v>
      </c>
    </row>
    <row r="4" spans="1:18" x14ac:dyDescent="0.3">
      <c r="A4" t="str">
        <f t="shared" si="3"/>
        <v>2007-2008</v>
      </c>
      <c r="B4" s="3">
        <v>13668.95</v>
      </c>
      <c r="C4" s="3">
        <v>1209.55</v>
      </c>
      <c r="D4" s="3">
        <v>21106.79</v>
      </c>
      <c r="E4" s="3">
        <v>24891.64</v>
      </c>
      <c r="F4" s="3">
        <v>2367.7399999999998</v>
      </c>
      <c r="G4" s="3">
        <f t="shared" si="4"/>
        <v>27259.379999999997</v>
      </c>
      <c r="H4" s="3">
        <v>3784.84</v>
      </c>
      <c r="I4" s="3">
        <v>6100.21</v>
      </c>
      <c r="J4" s="2">
        <v>175141.08</v>
      </c>
      <c r="K4" s="7">
        <f t="shared" si="0"/>
        <v>12.051307437409889</v>
      </c>
      <c r="L4" s="7">
        <f t="shared" si="1"/>
        <v>14.212336705928729</v>
      </c>
      <c r="M4" s="7">
        <f t="shared" si="5"/>
        <v>1.3519044189975304</v>
      </c>
      <c r="N4" s="7">
        <f t="shared" si="6"/>
        <v>15.564241124926259</v>
      </c>
      <c r="O4" s="7">
        <f t="shared" si="2"/>
        <v>2.1610235588361113</v>
      </c>
      <c r="P4" s="7">
        <f t="shared" si="7"/>
        <v>3.4830263693703385</v>
      </c>
      <c r="Q4" t="s">
        <v>16</v>
      </c>
      <c r="R4" s="8">
        <f t="shared" si="8"/>
        <v>8.685964244234462E-2</v>
      </c>
    </row>
    <row r="5" spans="1:18" x14ac:dyDescent="0.3">
      <c r="A5" t="str">
        <f t="shared" si="3"/>
        <v>2008-2009</v>
      </c>
      <c r="B5" s="3">
        <v>15990.18</v>
      </c>
      <c r="C5" s="3">
        <v>1559.29</v>
      </c>
      <c r="D5" s="3">
        <v>24512.18</v>
      </c>
      <c r="E5" s="3">
        <v>28223.85</v>
      </c>
      <c r="F5" s="3">
        <v>2679.29</v>
      </c>
      <c r="G5" s="3">
        <f t="shared" si="4"/>
        <v>30903.14</v>
      </c>
      <c r="H5" s="3">
        <v>3711.67</v>
      </c>
      <c r="I5" s="3">
        <v>6346.21</v>
      </c>
      <c r="J5" s="2">
        <v>201019.75</v>
      </c>
      <c r="K5" s="7">
        <f t="shared" si="0"/>
        <v>12.193916269421289</v>
      </c>
      <c r="L5" s="7">
        <f t="shared" si="1"/>
        <v>14.040336832574907</v>
      </c>
      <c r="M5" s="7">
        <f t="shared" si="5"/>
        <v>1.3328491354705196</v>
      </c>
      <c r="N5" s="7">
        <f t="shared" si="6"/>
        <v>15.373185968045428</v>
      </c>
      <c r="O5" s="7">
        <f t="shared" si="2"/>
        <v>1.8464205631536206</v>
      </c>
      <c r="P5" s="7">
        <f t="shared" si="7"/>
        <v>3.1570082044177252</v>
      </c>
      <c r="Q5" t="s">
        <v>16</v>
      </c>
      <c r="R5" s="8">
        <f t="shared" si="8"/>
        <v>8.6699603988462021E-2</v>
      </c>
    </row>
    <row r="6" spans="1:18" x14ac:dyDescent="0.3">
      <c r="A6" t="str">
        <f t="shared" si="3"/>
        <v>2009-2010</v>
      </c>
      <c r="B6" s="3">
        <v>17625.02</v>
      </c>
      <c r="C6" s="3">
        <v>1852.22</v>
      </c>
      <c r="D6" s="3">
        <v>26109.4</v>
      </c>
      <c r="E6" s="3">
        <v>31132.38</v>
      </c>
      <c r="F6" s="3">
        <v>2936.06</v>
      </c>
      <c r="G6" s="3">
        <f t="shared" si="4"/>
        <v>34068.44</v>
      </c>
      <c r="H6" s="3">
        <v>5022.97</v>
      </c>
      <c r="I6" s="3">
        <v>7871.6</v>
      </c>
      <c r="J6" s="2">
        <v>230315.55</v>
      </c>
      <c r="K6" s="7">
        <f t="shared" si="0"/>
        <v>11.336360050374369</v>
      </c>
      <c r="L6" s="7">
        <f t="shared" si="1"/>
        <v>13.5172722814417</v>
      </c>
      <c r="M6" s="7">
        <f t="shared" si="5"/>
        <v>1.2747988574805307</v>
      </c>
      <c r="N6" s="7">
        <f t="shared" si="6"/>
        <v>14.792071138922234</v>
      </c>
      <c r="O6" s="7">
        <f t="shared" si="2"/>
        <v>2.1809078891981026</v>
      </c>
      <c r="P6" s="7">
        <f t="shared" si="7"/>
        <v>3.4177457839907035</v>
      </c>
      <c r="Q6" t="s">
        <v>16</v>
      </c>
      <c r="R6" s="8">
        <f t="shared" si="8"/>
        <v>8.6181228139591948E-2</v>
      </c>
    </row>
    <row r="7" spans="1:18" x14ac:dyDescent="0.3">
      <c r="A7" t="str">
        <f t="shared" si="3"/>
        <v>2010-2011</v>
      </c>
      <c r="B7" s="4">
        <v>21721.69</v>
      </c>
      <c r="C7" s="4">
        <v>1930.79</v>
      </c>
      <c r="D7" s="4">
        <v>30990.95</v>
      </c>
      <c r="E7" s="4">
        <v>34664.81</v>
      </c>
      <c r="F7" s="4">
        <v>4125.43</v>
      </c>
      <c r="G7" s="3">
        <f t="shared" si="4"/>
        <v>38790.239999999998</v>
      </c>
      <c r="H7" s="6">
        <f t="shared" ref="H7:H21" si="9">E7-D7</f>
        <v>3673.8599999999969</v>
      </c>
      <c r="I7" s="6">
        <v>7730.46</v>
      </c>
      <c r="J7" s="2">
        <v>276996.7</v>
      </c>
      <c r="K7" s="7">
        <f t="shared" si="0"/>
        <v>11.188201881105444</v>
      </c>
      <c r="L7" s="7">
        <f t="shared" si="1"/>
        <v>12.514520931115786</v>
      </c>
      <c r="M7" s="7">
        <f t="shared" si="5"/>
        <v>1.4893426528186076</v>
      </c>
      <c r="N7" s="7">
        <f t="shared" si="6"/>
        <v>14.003863583934391</v>
      </c>
      <c r="O7" s="7">
        <f t="shared" si="2"/>
        <v>1.3263190500103419</v>
      </c>
      <c r="P7" s="7">
        <f t="shared" si="7"/>
        <v>2.7908130313465827</v>
      </c>
      <c r="Q7" t="s">
        <v>16</v>
      </c>
      <c r="R7" s="8">
        <f t="shared" si="8"/>
        <v>0.10635226799318592</v>
      </c>
    </row>
    <row r="8" spans="1:18" x14ac:dyDescent="0.3">
      <c r="A8" t="str">
        <f t="shared" si="3"/>
        <v>2011-2012</v>
      </c>
      <c r="B8" s="5">
        <v>25718.6</v>
      </c>
      <c r="C8" s="4">
        <v>2592.1799999999998</v>
      </c>
      <c r="D8" s="4">
        <v>38010.36</v>
      </c>
      <c r="E8" s="4">
        <v>46044.62</v>
      </c>
      <c r="F8" s="4">
        <v>4851.46</v>
      </c>
      <c r="G8" s="4">
        <f t="shared" si="4"/>
        <v>50896.08</v>
      </c>
      <c r="H8" s="6">
        <f t="shared" si="9"/>
        <v>8034.260000000002</v>
      </c>
      <c r="I8" s="6">
        <v>12814.77</v>
      </c>
      <c r="J8" s="2">
        <f>36404788/100</f>
        <v>364047.88</v>
      </c>
      <c r="K8" s="7">
        <f t="shared" si="0"/>
        <v>10.441033195963124</v>
      </c>
      <c r="L8" s="7">
        <f t="shared" si="1"/>
        <v>12.64795718629099</v>
      </c>
      <c r="M8" s="7">
        <f t="shared" si="5"/>
        <v>1.3326433874577157</v>
      </c>
      <c r="N8" s="7">
        <f t="shared" si="6"/>
        <v>13.980600573748706</v>
      </c>
      <c r="O8" s="7">
        <f t="shared" si="2"/>
        <v>2.2069239903278661</v>
      </c>
      <c r="P8" s="7">
        <f t="shared" si="7"/>
        <v>3.5200781831225063</v>
      </c>
      <c r="Q8" t="s">
        <v>16</v>
      </c>
      <c r="R8" s="8">
        <f t="shared" si="8"/>
        <v>9.5320897012107803E-2</v>
      </c>
    </row>
    <row r="9" spans="1:18" x14ac:dyDescent="0.3">
      <c r="A9" t="str">
        <f t="shared" si="3"/>
        <v>2012-2013</v>
      </c>
      <c r="B9" s="4">
        <v>30076.61</v>
      </c>
      <c r="C9" s="4">
        <v>4198.5200000000004</v>
      </c>
      <c r="D9" s="4">
        <v>44137.31</v>
      </c>
      <c r="E9" s="4">
        <v>53488.74</v>
      </c>
      <c r="F9" s="4">
        <v>5739.44</v>
      </c>
      <c r="G9" s="4">
        <f>E9+F9</f>
        <v>59228.18</v>
      </c>
      <c r="H9" s="6">
        <f t="shared" si="9"/>
        <v>9351.43</v>
      </c>
      <c r="I9" s="6">
        <v>15002.47</v>
      </c>
      <c r="J9" s="2">
        <f>41231300/100</f>
        <v>412313</v>
      </c>
      <c r="K9" s="7">
        <f t="shared" si="0"/>
        <v>10.704806785136533</v>
      </c>
      <c r="L9" s="7">
        <f t="shared" si="1"/>
        <v>12.972848297288712</v>
      </c>
      <c r="M9" s="7">
        <f t="shared" si="5"/>
        <v>1.3920104386715917</v>
      </c>
      <c r="N9" s="7">
        <f t="shared" si="6"/>
        <v>14.364858735960301</v>
      </c>
      <c r="O9" s="7">
        <f t="shared" si="2"/>
        <v>2.2680415121521755</v>
      </c>
      <c r="P9" s="7">
        <f t="shared" si="7"/>
        <v>3.6386119283165943</v>
      </c>
      <c r="Q9" t="s">
        <v>16</v>
      </c>
      <c r="R9" s="8">
        <f t="shared" si="8"/>
        <v>9.6903872447203332E-2</v>
      </c>
    </row>
    <row r="10" spans="1:18" x14ac:dyDescent="0.3">
      <c r="A10" t="str">
        <f t="shared" si="3"/>
        <v>2013-2014</v>
      </c>
      <c r="B10" s="4">
        <v>31995.02</v>
      </c>
      <c r="C10" s="4">
        <v>5575.03</v>
      </c>
      <c r="D10" s="4">
        <v>49176.94</v>
      </c>
      <c r="E10" s="4">
        <v>60485.5</v>
      </c>
      <c r="F10" s="4">
        <v>5758.5</v>
      </c>
      <c r="G10" s="4">
        <f t="shared" ref="G10:G21" si="10">E10+F10</f>
        <v>66244</v>
      </c>
      <c r="H10" s="6">
        <f t="shared" si="9"/>
        <v>11308.559999999998</v>
      </c>
      <c r="I10" s="6">
        <v>16944.12</v>
      </c>
      <c r="J10" s="2">
        <f>46504121/100</f>
        <v>465041.21</v>
      </c>
      <c r="K10" s="7">
        <f t="shared" si="0"/>
        <v>10.57474884860204</v>
      </c>
      <c r="L10" s="7">
        <f t="shared" si="1"/>
        <v>13.006481726640956</v>
      </c>
      <c r="M10" s="7">
        <f t="shared" si="5"/>
        <v>1.2382773561078597</v>
      </c>
      <c r="N10" s="7">
        <f t="shared" si="6"/>
        <v>14.244759082748818</v>
      </c>
      <c r="O10" s="7">
        <f t="shared" si="2"/>
        <v>2.4317328780389156</v>
      </c>
      <c r="P10" s="7">
        <f t="shared" si="7"/>
        <v>3.6435738673568299</v>
      </c>
      <c r="Q10" t="s">
        <v>16</v>
      </c>
      <c r="R10" s="8">
        <f t="shared" si="8"/>
        <v>8.6928627498339475E-2</v>
      </c>
    </row>
    <row r="11" spans="1:18" x14ac:dyDescent="0.3">
      <c r="A11" t="str">
        <f t="shared" si="3"/>
        <v>2014-2015</v>
      </c>
      <c r="B11" s="5">
        <v>35232.5</v>
      </c>
      <c r="C11" s="4">
        <v>7283.69</v>
      </c>
      <c r="D11" s="4">
        <v>57950.47</v>
      </c>
      <c r="E11" s="4">
        <v>71746.429999999993</v>
      </c>
      <c r="F11" s="4">
        <v>4997.68</v>
      </c>
      <c r="G11" s="4">
        <f t="shared" si="10"/>
        <v>76744.109999999986</v>
      </c>
      <c r="H11" s="6">
        <f t="shared" si="9"/>
        <v>13795.959999999992</v>
      </c>
      <c r="I11" s="6">
        <v>18641.73</v>
      </c>
      <c r="J11" s="2">
        <f>51256405/100</f>
        <v>512564.05</v>
      </c>
      <c r="K11" s="7">
        <f t="shared" si="0"/>
        <v>11.305995806767955</v>
      </c>
      <c r="L11" s="7">
        <f t="shared" si="1"/>
        <v>13.997554061780178</v>
      </c>
      <c r="M11" s="7">
        <f t="shared" si="5"/>
        <v>0.97503521754988487</v>
      </c>
      <c r="N11" s="7">
        <f t="shared" si="6"/>
        <v>14.972589279330064</v>
      </c>
      <c r="O11" s="7">
        <f t="shared" si="2"/>
        <v>2.6915582550122257</v>
      </c>
      <c r="P11" s="7">
        <f t="shared" si="7"/>
        <v>3.6369562008884548</v>
      </c>
      <c r="Q11" t="s">
        <v>16</v>
      </c>
      <c r="R11" s="8">
        <f t="shared" si="8"/>
        <v>6.5121349377821977E-2</v>
      </c>
    </row>
    <row r="12" spans="1:18" x14ac:dyDescent="0.3">
      <c r="A12" t="str">
        <f t="shared" si="3"/>
        <v>2015-2016</v>
      </c>
      <c r="B12" s="4">
        <v>38995.15</v>
      </c>
      <c r="C12" s="4">
        <v>8425.49</v>
      </c>
      <c r="D12" s="4">
        <v>69032.66</v>
      </c>
      <c r="E12" s="4">
        <v>78689.47</v>
      </c>
      <c r="F12" s="4">
        <v>8342.2900000000009</v>
      </c>
      <c r="G12" s="4">
        <f t="shared" si="10"/>
        <v>87031.760000000009</v>
      </c>
      <c r="H12" s="6">
        <f t="shared" si="9"/>
        <v>9656.8099999999977</v>
      </c>
      <c r="I12" s="6">
        <v>17818.39</v>
      </c>
      <c r="J12" s="2">
        <f>56199361/100</f>
        <v>561993.61</v>
      </c>
      <c r="K12" s="7">
        <f t="shared" si="0"/>
        <v>12.283531124135024</v>
      </c>
      <c r="L12" s="7">
        <f t="shared" si="1"/>
        <v>14.00184425584483</v>
      </c>
      <c r="M12" s="7">
        <f t="shared" si="5"/>
        <v>1.4844101163356647</v>
      </c>
      <c r="N12" s="7">
        <f t="shared" si="6"/>
        <v>15.486254372180497</v>
      </c>
      <c r="O12" s="7">
        <f t="shared" si="2"/>
        <v>1.7183131317098068</v>
      </c>
      <c r="P12" s="7">
        <f t="shared" si="7"/>
        <v>3.1705680781672942</v>
      </c>
      <c r="Q12" t="s">
        <v>16</v>
      </c>
      <c r="R12" s="8">
        <f t="shared" si="8"/>
        <v>9.5853398805217774E-2</v>
      </c>
    </row>
    <row r="13" spans="1:18" x14ac:dyDescent="0.3">
      <c r="A13" t="str">
        <f t="shared" si="3"/>
        <v>2016-2017</v>
      </c>
      <c r="B13" s="4">
        <v>42176.38</v>
      </c>
      <c r="C13" s="4">
        <v>9699.98</v>
      </c>
      <c r="D13" s="4">
        <v>75611.72</v>
      </c>
      <c r="E13" s="4">
        <v>91096.31</v>
      </c>
      <c r="F13" s="4">
        <v>11286.25</v>
      </c>
      <c r="G13" s="4">
        <f t="shared" si="10"/>
        <v>102382.56</v>
      </c>
      <c r="H13" s="6">
        <f t="shared" si="9"/>
        <v>15484.589999999997</v>
      </c>
      <c r="I13" s="6">
        <v>26448.35</v>
      </c>
      <c r="J13" s="2">
        <f>63488640/100</f>
        <v>634886.40000000002</v>
      </c>
      <c r="K13" s="7">
        <f t="shared" si="0"/>
        <v>11.909488059596175</v>
      </c>
      <c r="L13" s="7">
        <f t="shared" si="1"/>
        <v>14.348442493019222</v>
      </c>
      <c r="M13" s="7">
        <f t="shared" si="5"/>
        <v>1.7776802275178676</v>
      </c>
      <c r="N13" s="7">
        <f t="shared" si="6"/>
        <v>16.12612272053709</v>
      </c>
      <c r="O13" s="7">
        <f t="shared" si="2"/>
        <v>2.4389544334230497</v>
      </c>
      <c r="P13" s="7">
        <f t="shared" si="7"/>
        <v>4.1658397470791622</v>
      </c>
      <c r="Q13" t="s">
        <v>16</v>
      </c>
      <c r="R13" s="8">
        <f t="shared" si="8"/>
        <v>0.11023605973517366</v>
      </c>
    </row>
    <row r="14" spans="1:18" x14ac:dyDescent="0.3">
      <c r="A14" t="str">
        <f t="shared" si="3"/>
        <v>2017-2018</v>
      </c>
      <c r="B14" s="4">
        <v>46459.61</v>
      </c>
      <c r="C14" s="4">
        <v>11199.61</v>
      </c>
      <c r="D14" s="4">
        <v>83020.14</v>
      </c>
      <c r="E14" s="4">
        <v>99948.35</v>
      </c>
      <c r="F14" s="4">
        <v>10289.459999999999</v>
      </c>
      <c r="G14" s="4">
        <f t="shared" si="10"/>
        <v>110237.81</v>
      </c>
      <c r="H14" s="6">
        <f t="shared" si="9"/>
        <v>16928.210000000006</v>
      </c>
      <c r="I14" s="6">
        <v>26837.41</v>
      </c>
      <c r="J14" s="2">
        <f>70158826/100</f>
        <v>701588.26</v>
      </c>
      <c r="K14" s="7">
        <f t="shared" si="0"/>
        <v>11.833171210704124</v>
      </c>
      <c r="L14" s="7">
        <f t="shared" si="1"/>
        <v>14.246012326375018</v>
      </c>
      <c r="M14" s="7">
        <f t="shared" si="5"/>
        <v>1.4665952363570049</v>
      </c>
      <c r="N14" s="7">
        <f t="shared" si="6"/>
        <v>15.712607562732019</v>
      </c>
      <c r="O14" s="7">
        <f t="shared" si="2"/>
        <v>2.4128411156708931</v>
      </c>
      <c r="P14" s="7">
        <f t="shared" si="7"/>
        <v>3.8252364713172367</v>
      </c>
      <c r="Q14" t="s">
        <v>17</v>
      </c>
      <c r="R14" s="8">
        <f t="shared" si="8"/>
        <v>9.3338755550386926E-2</v>
      </c>
    </row>
    <row r="15" spans="1:18" x14ac:dyDescent="0.3">
      <c r="A15" t="str">
        <f t="shared" si="3"/>
        <v>2018-2019</v>
      </c>
      <c r="B15" s="5">
        <v>50644.1</v>
      </c>
      <c r="C15" s="4">
        <v>11783.24</v>
      </c>
      <c r="D15" s="4">
        <v>92854.47</v>
      </c>
      <c r="E15" s="4">
        <v>110316.39</v>
      </c>
      <c r="F15" s="4">
        <v>9753.43</v>
      </c>
      <c r="G15" s="4">
        <f t="shared" si="10"/>
        <v>120069.82</v>
      </c>
      <c r="H15" s="6">
        <f t="shared" si="9"/>
        <v>17461.919999999998</v>
      </c>
      <c r="I15" s="6">
        <v>26958.3</v>
      </c>
      <c r="J15" s="2">
        <f>78828558/100</f>
        <v>788285.58</v>
      </c>
      <c r="K15" s="7">
        <f t="shared" si="0"/>
        <v>11.779293235327229</v>
      </c>
      <c r="L15" s="7">
        <f t="shared" si="1"/>
        <v>13.994470125915534</v>
      </c>
      <c r="M15" s="7">
        <f t="shared" si="5"/>
        <v>1.2372965137837484</v>
      </c>
      <c r="N15" s="7">
        <f t="shared" si="6"/>
        <v>15.231766639699284</v>
      </c>
      <c r="O15" s="7">
        <f t="shared" si="2"/>
        <v>2.2151768905883067</v>
      </c>
      <c r="P15" s="7">
        <f t="shared" si="7"/>
        <v>3.4198646637681742</v>
      </c>
      <c r="Q15" t="s">
        <v>17</v>
      </c>
      <c r="R15" s="8">
        <f t="shared" si="8"/>
        <v>8.123132024350499E-2</v>
      </c>
    </row>
    <row r="16" spans="1:18" x14ac:dyDescent="0.3">
      <c r="A16" t="str">
        <f t="shared" si="3"/>
        <v>2019-2020</v>
      </c>
      <c r="B16" s="4">
        <v>50323.14</v>
      </c>
      <c r="C16" s="4">
        <v>12265.22</v>
      </c>
      <c r="D16" s="4">
        <v>90224.67</v>
      </c>
      <c r="E16" s="4">
        <v>104719.92</v>
      </c>
      <c r="F16" s="4">
        <v>9665.02</v>
      </c>
      <c r="G16" s="4">
        <f t="shared" si="10"/>
        <v>114384.94</v>
      </c>
      <c r="H16" s="6">
        <f t="shared" si="9"/>
        <v>14495.25</v>
      </c>
      <c r="I16" s="6">
        <v>23837.48</v>
      </c>
      <c r="J16" s="2">
        <f>81293463/100</f>
        <v>812934.63</v>
      </c>
      <c r="K16" s="7">
        <f t="shared" si="0"/>
        <v>11.098637783458678</v>
      </c>
      <c r="L16" s="7">
        <f t="shared" si="1"/>
        <v>12.881714732708582</v>
      </c>
      <c r="M16" s="7">
        <f t="shared" si="5"/>
        <v>1.1889049430702687</v>
      </c>
      <c r="N16" s="7">
        <f t="shared" si="6"/>
        <v>14.07061967577885</v>
      </c>
      <c r="O16" s="7">
        <f t="shared" si="2"/>
        <v>1.7830769492499046</v>
      </c>
      <c r="P16" s="7">
        <f t="shared" si="7"/>
        <v>2.9322751326265926</v>
      </c>
      <c r="Q16" t="s">
        <v>17</v>
      </c>
      <c r="R16" s="8">
        <f t="shared" si="8"/>
        <v>8.449556383908581E-2</v>
      </c>
    </row>
    <row r="17" spans="1:18" x14ac:dyDescent="0.3">
      <c r="A17" t="str">
        <f t="shared" si="3"/>
        <v>2020-2021</v>
      </c>
      <c r="B17" s="4">
        <v>47660.84</v>
      </c>
      <c r="C17" s="4">
        <v>7327.31</v>
      </c>
      <c r="D17" s="4">
        <v>97616.83</v>
      </c>
      <c r="E17" s="4">
        <v>123446.33</v>
      </c>
      <c r="F17" s="4">
        <v>15438.16</v>
      </c>
      <c r="G17" s="4">
        <f t="shared" si="10"/>
        <v>138884.49</v>
      </c>
      <c r="H17" s="6">
        <f t="shared" si="9"/>
        <v>25829.5</v>
      </c>
      <c r="I17" s="6">
        <v>35203.69</v>
      </c>
      <c r="J17" s="2">
        <f>77172389/100</f>
        <v>771723.89</v>
      </c>
      <c r="K17" s="7">
        <f t="shared" si="0"/>
        <v>12.649191150477407</v>
      </c>
      <c r="L17" s="7">
        <f t="shared" si="1"/>
        <v>15.99617837410735</v>
      </c>
      <c r="M17" s="7">
        <f t="shared" si="5"/>
        <v>2.0004771395634777</v>
      </c>
      <c r="N17" s="7">
        <f t="shared" si="6"/>
        <v>17.996655513670827</v>
      </c>
      <c r="O17" s="7">
        <f t="shared" si="2"/>
        <v>3.3469872236299434</v>
      </c>
      <c r="P17" s="7">
        <f t="shared" si="7"/>
        <v>4.5616949865320358</v>
      </c>
      <c r="Q17" t="s">
        <v>18</v>
      </c>
      <c r="R17" s="8">
        <f t="shared" si="8"/>
        <v>0.11115827260480994</v>
      </c>
    </row>
    <row r="18" spans="1:18" x14ac:dyDescent="0.3">
      <c r="A18" t="str">
        <f t="shared" si="3"/>
        <v>2021-2022</v>
      </c>
      <c r="B18" s="4">
        <v>58340.52</v>
      </c>
      <c r="C18" s="4">
        <v>10462.51</v>
      </c>
      <c r="D18" s="4">
        <v>116640.24</v>
      </c>
      <c r="E18" s="4">
        <v>146179.51</v>
      </c>
      <c r="F18" s="4">
        <v>17046.02</v>
      </c>
      <c r="G18" s="4">
        <f t="shared" si="10"/>
        <v>163225.53</v>
      </c>
      <c r="H18" s="6">
        <f t="shared" si="9"/>
        <v>29539.270000000004</v>
      </c>
      <c r="I18" s="6">
        <v>37306.47</v>
      </c>
      <c r="J18" s="2">
        <f>92446542/100</f>
        <v>924465.42</v>
      </c>
      <c r="K18" s="7">
        <f t="shared" si="0"/>
        <v>12.617047374254408</v>
      </c>
      <c r="L18" s="7">
        <f t="shared" si="1"/>
        <v>15.812328599592185</v>
      </c>
      <c r="M18" s="7">
        <f t="shared" si="5"/>
        <v>1.8438785952642773</v>
      </c>
      <c r="N18" s="7">
        <f t="shared" si="6"/>
        <v>17.65620719485646</v>
      </c>
      <c r="O18" s="7">
        <f t="shared" si="2"/>
        <v>3.1952812253377747</v>
      </c>
      <c r="P18" s="7">
        <f t="shared" si="7"/>
        <v>4.0354640847464038</v>
      </c>
      <c r="Q18" t="s">
        <v>18</v>
      </c>
      <c r="R18" s="8">
        <f t="shared" si="8"/>
        <v>0.1044323152144153</v>
      </c>
    </row>
    <row r="19" spans="1:18" x14ac:dyDescent="0.3">
      <c r="A19" t="str">
        <f t="shared" si="3"/>
        <v>2022-2023</v>
      </c>
      <c r="B19" s="4">
        <v>71968.160000000003</v>
      </c>
      <c r="C19" s="4">
        <v>15117.96</v>
      </c>
      <c r="D19" s="4">
        <v>132724.65</v>
      </c>
      <c r="E19" s="4">
        <v>141950.94</v>
      </c>
      <c r="F19" s="4">
        <v>16787.490000000002</v>
      </c>
      <c r="G19" s="4">
        <f t="shared" si="10"/>
        <v>158738.43</v>
      </c>
      <c r="H19" s="6">
        <f t="shared" si="9"/>
        <v>9226.2900000000081</v>
      </c>
      <c r="I19" s="6">
        <v>25554.54</v>
      </c>
      <c r="J19" s="2">
        <f>103873406/100</f>
        <v>1038734.06</v>
      </c>
      <c r="K19" s="7">
        <f t="shared" si="0"/>
        <v>12.77753903631503</v>
      </c>
      <c r="L19" s="7">
        <f t="shared" si="1"/>
        <v>13.665763496770289</v>
      </c>
      <c r="M19" s="7">
        <f t="shared" si="5"/>
        <v>1.6161489881250262</v>
      </c>
      <c r="N19" s="7">
        <f t="shared" si="6"/>
        <v>15.281912484895313</v>
      </c>
      <c r="O19" s="7">
        <f t="shared" si="2"/>
        <v>0.88822446045525916</v>
      </c>
      <c r="P19" s="7">
        <f t="shared" si="7"/>
        <v>2.4601619398135455</v>
      </c>
      <c r="Q19" t="s">
        <v>19</v>
      </c>
      <c r="R19" s="8">
        <f t="shared" si="8"/>
        <v>0.10575567617747009</v>
      </c>
    </row>
    <row r="20" spans="1:18" x14ac:dyDescent="0.3">
      <c r="A20" t="str">
        <f t="shared" si="3"/>
        <v>2023-2024</v>
      </c>
      <c r="B20" s="4">
        <v>74329.009999999995</v>
      </c>
      <c r="C20" s="4">
        <v>16345.96</v>
      </c>
      <c r="D20" s="4">
        <v>124486.15</v>
      </c>
      <c r="E20" s="4">
        <v>142626.34</v>
      </c>
      <c r="F20" s="4">
        <v>16880.169999999998</v>
      </c>
      <c r="G20" s="4">
        <f t="shared" si="10"/>
        <v>159506.51</v>
      </c>
      <c r="H20" s="6">
        <f t="shared" si="9"/>
        <v>18140.190000000002</v>
      </c>
      <c r="I20" s="6">
        <v>34258.050000000003</v>
      </c>
      <c r="J20" s="2">
        <f>113537156/100</f>
        <v>1135371.56</v>
      </c>
      <c r="K20" s="7">
        <f t="shared" si="0"/>
        <v>10.964353378730042</v>
      </c>
      <c r="L20" s="7">
        <f t="shared" si="1"/>
        <v>12.562084961860414</v>
      </c>
      <c r="M20" s="7">
        <f t="shared" si="5"/>
        <v>1.4867529357525915</v>
      </c>
      <c r="N20" s="7">
        <f t="shared" si="6"/>
        <v>14.048837897613007</v>
      </c>
      <c r="O20" s="7">
        <f t="shared" si="2"/>
        <v>1.597731583130372</v>
      </c>
      <c r="P20" s="7">
        <f t="shared" si="7"/>
        <v>3.0173426221808834</v>
      </c>
      <c r="Q20" t="s">
        <v>19</v>
      </c>
      <c r="R20" s="8">
        <f t="shared" si="8"/>
        <v>0.10582746748079434</v>
      </c>
    </row>
    <row r="21" spans="1:18" x14ac:dyDescent="0.3">
      <c r="A21" t="str">
        <f t="shared" si="3"/>
        <v>2024-2025</v>
      </c>
      <c r="B21" s="2">
        <v>76642.2</v>
      </c>
      <c r="C21" s="2">
        <v>16486.62</v>
      </c>
      <c r="D21" s="2">
        <v>124861.07</v>
      </c>
      <c r="E21" s="2">
        <v>155920.79</v>
      </c>
      <c r="F21" s="2">
        <v>17886.77</v>
      </c>
      <c r="G21" s="4">
        <f t="shared" si="10"/>
        <v>173807.56</v>
      </c>
      <c r="H21" s="6">
        <f t="shared" si="9"/>
        <v>31059.72</v>
      </c>
      <c r="I21" s="6">
        <v>48248.14</v>
      </c>
      <c r="J21" s="2">
        <f>124853301/100</f>
        <v>1248533.01</v>
      </c>
      <c r="K21" s="7">
        <f t="shared" si="0"/>
        <v>10.000622250267938</v>
      </c>
      <c r="L21" s="7">
        <f t="shared" si="1"/>
        <v>12.488319391731581</v>
      </c>
      <c r="M21" s="7">
        <f t="shared" si="5"/>
        <v>1.4326229147918164</v>
      </c>
      <c r="N21" s="7">
        <f t="shared" si="6"/>
        <v>13.920942306523399</v>
      </c>
      <c r="O21" s="7">
        <f t="shared" si="2"/>
        <v>2.4876971414636446</v>
      </c>
      <c r="P21" s="7">
        <f t="shared" si="7"/>
        <v>3.8643864129791807</v>
      </c>
      <c r="Q21" t="s">
        <v>19</v>
      </c>
      <c r="R21" s="8">
        <f t="shared" si="8"/>
        <v>0.1029113463188828</v>
      </c>
    </row>
    <row r="27" spans="1:18" x14ac:dyDescent="0.3">
      <c r="C27" s="1"/>
      <c r="D27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1324-38F7-413B-9E24-752437EDF4CE}">
  <dimension ref="A1:G11"/>
  <sheetViews>
    <sheetView workbookViewId="0">
      <selection activeCell="D13" sqref="D13"/>
    </sheetView>
  </sheetViews>
  <sheetFormatPr defaultRowHeight="14.4" x14ac:dyDescent="0.3"/>
  <cols>
    <col min="1" max="1" width="22.44140625" customWidth="1"/>
    <col min="2" max="2" width="18.33203125" customWidth="1"/>
    <col min="3" max="3" width="16.21875" customWidth="1"/>
    <col min="4" max="4" width="18.33203125" customWidth="1"/>
    <col min="5" max="5" width="17.109375" customWidth="1"/>
    <col min="6" max="6" width="16.44140625" customWidth="1"/>
    <col min="7" max="7" width="14.6640625" customWidth="1"/>
  </cols>
  <sheetData>
    <row r="1" spans="1:7" x14ac:dyDescent="0.3">
      <c r="A1" s="14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</row>
    <row r="2" spans="1:7" x14ac:dyDescent="0.3">
      <c r="A2" s="15" t="s">
        <v>1</v>
      </c>
      <c r="B2" s="7">
        <f>AVERAGE(DATA!B2:B21)</f>
        <v>38564.457000000002</v>
      </c>
      <c r="C2" s="7">
        <f>MEDIAN(DATA!B2:B21)</f>
        <v>37113.824999999997</v>
      </c>
      <c r="D2" s="7">
        <f>_xlfn.STDEV.S(DATA!B2:B21)</f>
        <v>20974.400320226487</v>
      </c>
      <c r="E2" s="7">
        <f>MIN(DATA!B2:B21)</f>
        <v>9779.64</v>
      </c>
      <c r="F2" s="7">
        <f>MAX(DATA!B2:B21)</f>
        <v>76642.2</v>
      </c>
      <c r="G2" s="8">
        <f>((DATA!B21/DATA!B2)^(1/19))-1</f>
        <v>0.11444917774752894</v>
      </c>
    </row>
    <row r="3" spans="1:7" x14ac:dyDescent="0.3">
      <c r="A3" s="15" t="s">
        <v>2</v>
      </c>
      <c r="B3" s="7">
        <f>AVERAGE(DATA!C2:C21)</f>
        <v>7359.4754999999986</v>
      </c>
      <c r="C3" s="7">
        <f>MEDIAN(DATA!C2:C21)</f>
        <v>7305.5</v>
      </c>
      <c r="D3" s="7">
        <f>_xlfn.STDEV.S(DATA!C2:C21)</f>
        <v>5373.1671971257483</v>
      </c>
      <c r="E3" s="7">
        <f>MIN(DATA!C2:C21)</f>
        <v>936.77</v>
      </c>
      <c r="F3" s="7">
        <f>MAX(DATA!C2:C21)</f>
        <v>16486.62</v>
      </c>
      <c r="G3" s="8"/>
    </row>
    <row r="4" spans="1:7" x14ac:dyDescent="0.3">
      <c r="A4" s="15" t="s">
        <v>3</v>
      </c>
      <c r="B4" s="7">
        <f>AVERAGE(DATA!D2:D21)</f>
        <v>66627.406999999992</v>
      </c>
      <c r="C4" s="7">
        <f>MEDIAN(DATA!D2:D21)</f>
        <v>63491.565000000002</v>
      </c>
      <c r="D4" s="7">
        <f>_xlfn.STDEV.S(DATA!D2:D21)</f>
        <v>39478.701346416121</v>
      </c>
      <c r="E4" s="7">
        <f>MIN(DATA!D2:D21)</f>
        <v>15294.52</v>
      </c>
      <c r="F4" s="7">
        <f>MAX(DATA!D2:D21)</f>
        <v>132724.65</v>
      </c>
      <c r="G4" s="9">
        <f>((DATA!D21/DATA!D2)^(1/19))-1</f>
        <v>0.11684852174643634</v>
      </c>
    </row>
    <row r="5" spans="1:7" x14ac:dyDescent="0.3">
      <c r="A5" s="15" t="s">
        <v>4</v>
      </c>
      <c r="B5" s="7">
        <f>AVERAGE(DATA!E2:E21)</f>
        <v>79241.023499999996</v>
      </c>
      <c r="C5" s="7">
        <f>MEDIAN(DATA!E2:E21)</f>
        <v>75217.95</v>
      </c>
      <c r="D5" s="7">
        <f>_xlfn.STDEV.S(DATA!E2:E21)</f>
        <v>46787.22153439359</v>
      </c>
      <c r="E5" s="7">
        <f>MIN(DATA!E2:E21)</f>
        <v>18423.580000000002</v>
      </c>
      <c r="F5" s="7">
        <f>MAX(DATA!E2:E21)</f>
        <v>155920.79</v>
      </c>
      <c r="G5" s="9">
        <f>(DATA!E21/DATA!E2)^(1/19)-1</f>
        <v>0.11896723137257048</v>
      </c>
    </row>
    <row r="6" spans="1:7" x14ac:dyDescent="0.3">
      <c r="A6" s="15" t="s">
        <v>40</v>
      </c>
      <c r="B6" s="7">
        <f>AVERAGE(DATA!F2:F21)</f>
        <v>8459.334499999999</v>
      </c>
      <c r="C6" s="7">
        <f>MEDIAN(DATA!F2:F21)</f>
        <v>7050.3950000000004</v>
      </c>
      <c r="D6" s="7">
        <f>_xlfn.STDEV.S(DATA!F2:F21)</f>
        <v>5765.6298572064343</v>
      </c>
      <c r="E6" s="7">
        <f>MIN(DATA!F2:F21)</f>
        <v>1104.06</v>
      </c>
      <c r="F6" s="7">
        <f>MAX(DATA!F2:F21)</f>
        <v>17886.77</v>
      </c>
      <c r="G6" s="9">
        <f>((DATA!F21/DATA!F2)^(1/19))-1</f>
        <v>0.15787042311044619</v>
      </c>
    </row>
    <row r="7" spans="1:7" x14ac:dyDescent="0.3">
      <c r="A7" s="15" t="s">
        <v>41</v>
      </c>
      <c r="B7" s="7">
        <f>AVERAGE(DATA!G2:G21)</f>
        <v>87700.358000000007</v>
      </c>
      <c r="C7" s="7">
        <f>MEDIAN(DATA!G2:G21)</f>
        <v>81887.934999999998</v>
      </c>
      <c r="D7" s="7">
        <f>_xlfn.STDEV.S(DATA!G2:G21)</f>
        <v>52451.434007242868</v>
      </c>
      <c r="E7" s="7">
        <f>MIN(DATA!G2:G21)</f>
        <v>19527.640000000003</v>
      </c>
      <c r="F7" s="7">
        <f>MAX(DATA!G2:G21)</f>
        <v>173807.56</v>
      </c>
      <c r="G7" s="9">
        <f>((DATA!G21/DATA!G2)^(1/19))-1</f>
        <v>0.12193944182583971</v>
      </c>
    </row>
    <row r="8" spans="1:7" x14ac:dyDescent="0.3">
      <c r="A8" s="15" t="s">
        <v>6</v>
      </c>
      <c r="B8" s="7">
        <f>AVERAGE(DATA!H2:H21)</f>
        <v>12613.62</v>
      </c>
      <c r="C8" s="7">
        <f>MEDIAN(DATA!H2:H21)</f>
        <v>10482.684999999998</v>
      </c>
      <c r="D8" s="7">
        <f>_xlfn.STDEV.S(DATA!H2:H21)</f>
        <v>8660.1694517224878</v>
      </c>
      <c r="E8" s="7">
        <f>MIN(DATA!H2:H21)</f>
        <v>2637.95</v>
      </c>
      <c r="F8" s="7">
        <f>MAX(DATA!H2:H21)</f>
        <v>31059.72</v>
      </c>
      <c r="G8" s="9">
        <f>((DATA!H21/DATA!H2)^(1/19))-1</f>
        <v>0.12839626428506867</v>
      </c>
    </row>
    <row r="9" spans="1:7" x14ac:dyDescent="0.3">
      <c r="A9" s="15" t="s">
        <v>42</v>
      </c>
      <c r="B9" s="7">
        <f>AVERAGE(DATA!I2:I21)</f>
        <v>20096.298999999999</v>
      </c>
      <c r="C9" s="7">
        <f>MEDIAN(DATA!I2:I21)</f>
        <v>18230.059999999998</v>
      </c>
      <c r="D9" s="7">
        <f>_xlfn.STDEV.S(DATA!I2:I21)</f>
        <v>12556.86811212762</v>
      </c>
      <c r="E9" s="7">
        <f>MIN(DATA!I2:I21)</f>
        <v>3821.87</v>
      </c>
      <c r="F9" s="7">
        <f>MAX(DATA!I2:I21)</f>
        <v>48248.14</v>
      </c>
      <c r="G9" s="9">
        <f>((DATA!I21/DATA!I2)^(1/19))-1</f>
        <v>0.13736889976333022</v>
      </c>
    </row>
    <row r="10" spans="1:7" x14ac:dyDescent="0.3">
      <c r="A10" s="15" t="s">
        <v>5</v>
      </c>
      <c r="B10" s="7">
        <f>AVERAGE(DATA!J2:J21)</f>
        <v>576140.755</v>
      </c>
      <c r="C10" s="7">
        <f>MEDIAN(DATA!J2:J21)</f>
        <v>537278.82999999996</v>
      </c>
      <c r="D10" s="7">
        <f>_xlfn.STDEV.S(DATA!J2:J21)</f>
        <v>344111.91603838012</v>
      </c>
      <c r="E10" s="7">
        <f>MIN(DATA!J2:J21)</f>
        <v>124389.42</v>
      </c>
      <c r="F10" s="7">
        <f>MAX(DATA!J2:J21)</f>
        <v>1248533.01</v>
      </c>
      <c r="G10" s="9">
        <f>(DATA!J21/DATA!J2)^(1/19)-1</f>
        <v>0.12905906621742536</v>
      </c>
    </row>
    <row r="11" spans="1:7" x14ac:dyDescent="0.3">
      <c r="A11" s="15" t="s">
        <v>57</v>
      </c>
      <c r="B11" s="8">
        <f>AVERAGE(DATA!R2:R21)</f>
        <v>9.0942820675161878E-2</v>
      </c>
      <c r="C11" s="8">
        <f>MEDIAN(DATA!R2:R21)</f>
        <v>9.4329826281247364E-2</v>
      </c>
      <c r="D11" s="24">
        <f>_xlfn.STDEV.S(DATA!R2:R21)</f>
        <v>1.6384692617758011E-2</v>
      </c>
      <c r="E11" s="8">
        <f>MIN(DATA!R2:R21)</f>
        <v>5.6538322091148736E-2</v>
      </c>
      <c r="F11" s="8">
        <f>MAX(DATA!R2:R21)</f>
        <v>0.11115827260480994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5F90-4187-401C-8E14-DA0A4E25B099}">
  <dimension ref="A1"/>
  <sheetViews>
    <sheetView zoomScale="65" workbookViewId="0">
      <selection activeCell="L92" sqref="L9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4109-E432-4EC9-B2C6-B6F2F6F920D9}">
  <dimension ref="A1:J10"/>
  <sheetViews>
    <sheetView zoomScale="90" workbookViewId="0">
      <selection activeCell="I18" sqref="I18"/>
    </sheetView>
  </sheetViews>
  <sheetFormatPr defaultRowHeight="14.4" x14ac:dyDescent="0.3"/>
  <cols>
    <col min="1" max="1" width="23.44140625" customWidth="1"/>
    <col min="2" max="2" width="21.33203125" customWidth="1"/>
    <col min="3" max="3" width="26.44140625" customWidth="1"/>
    <col min="4" max="4" width="21.5546875" customWidth="1"/>
    <col min="5" max="5" width="21.88671875" customWidth="1"/>
    <col min="6" max="6" width="23" customWidth="1"/>
    <col min="7" max="8" width="19.88671875" customWidth="1"/>
    <col min="9" max="9" width="17.21875" customWidth="1"/>
    <col min="10" max="10" width="23.6640625" customWidth="1"/>
  </cols>
  <sheetData>
    <row r="1" spans="1:10" x14ac:dyDescent="0.3">
      <c r="A1" s="11"/>
      <c r="B1" s="18" t="s">
        <v>1</v>
      </c>
      <c r="C1" s="18" t="s">
        <v>2</v>
      </c>
      <c r="D1" s="18" t="s">
        <v>3</v>
      </c>
      <c r="E1" s="18" t="s">
        <v>4</v>
      </c>
      <c r="F1" s="18" t="s">
        <v>40</v>
      </c>
      <c r="G1" s="18" t="s">
        <v>41</v>
      </c>
      <c r="H1" s="18" t="s">
        <v>6</v>
      </c>
      <c r="I1" s="18" t="s">
        <v>42</v>
      </c>
      <c r="J1" s="18" t="s">
        <v>43</v>
      </c>
    </row>
    <row r="2" spans="1:10" x14ac:dyDescent="0.3">
      <c r="A2" s="15" t="s">
        <v>1</v>
      </c>
      <c r="B2">
        <v>1</v>
      </c>
    </row>
    <row r="3" spans="1:10" x14ac:dyDescent="0.3">
      <c r="A3" s="15" t="s">
        <v>2</v>
      </c>
      <c r="B3" s="23">
        <v>0.97428199560033857</v>
      </c>
      <c r="C3">
        <v>1</v>
      </c>
    </row>
    <row r="4" spans="1:10" x14ac:dyDescent="0.3">
      <c r="A4" s="15" t="s">
        <v>3</v>
      </c>
      <c r="B4" s="23">
        <v>0.98676902824288049</v>
      </c>
      <c r="C4" s="23">
        <v>0.95715547231205</v>
      </c>
      <c r="D4">
        <v>1</v>
      </c>
    </row>
    <row r="5" spans="1:10" x14ac:dyDescent="0.3">
      <c r="A5" s="15" t="s">
        <v>4</v>
      </c>
      <c r="B5" s="23">
        <v>0.97881415541571215</v>
      </c>
      <c r="C5" s="23">
        <v>0.94378155241132944</v>
      </c>
      <c r="D5" s="23">
        <v>0.99415728579389306</v>
      </c>
      <c r="E5">
        <v>1</v>
      </c>
    </row>
    <row r="6" spans="1:10" x14ac:dyDescent="0.3">
      <c r="A6" s="15" t="s">
        <v>40</v>
      </c>
      <c r="B6" s="23">
        <v>0.95711127269921614</v>
      </c>
      <c r="C6" s="23">
        <v>0.8957499569289209</v>
      </c>
      <c r="D6" s="23">
        <v>0.97511372173470501</v>
      </c>
      <c r="E6" s="23">
        <v>0.98026144208692789</v>
      </c>
      <c r="F6">
        <v>1</v>
      </c>
    </row>
    <row r="7" spans="1:10" x14ac:dyDescent="0.3">
      <c r="A7" s="15" t="s">
        <v>41</v>
      </c>
      <c r="B7" s="23">
        <v>0.97832108944615048</v>
      </c>
      <c r="C7" s="23">
        <v>0.94032661265644091</v>
      </c>
      <c r="D7" s="23">
        <v>0.99398620734518539</v>
      </c>
      <c r="E7" s="23">
        <v>0.99976382276825937</v>
      </c>
      <c r="F7" s="23">
        <v>0.98432655058815566</v>
      </c>
      <c r="G7">
        <v>1</v>
      </c>
    </row>
    <row r="8" spans="1:10" x14ac:dyDescent="0.3">
      <c r="A8" s="15" t="s">
        <v>6</v>
      </c>
      <c r="B8" s="23">
        <v>0.78978011389696623</v>
      </c>
      <c r="C8" s="23">
        <v>0.7355118227790175</v>
      </c>
      <c r="D8" s="23">
        <v>0.81235717743689217</v>
      </c>
      <c r="E8" s="23">
        <v>0.87055778694314589</v>
      </c>
      <c r="F8" s="23">
        <v>0.85073172203897662</v>
      </c>
      <c r="G8" s="23">
        <v>0.87006170788312887</v>
      </c>
      <c r="H8">
        <v>1</v>
      </c>
    </row>
    <row r="9" spans="1:10" x14ac:dyDescent="0.3">
      <c r="A9" s="15" t="s">
        <v>42</v>
      </c>
      <c r="B9" s="23">
        <v>0.92272579679186328</v>
      </c>
      <c r="C9" s="23">
        <v>0.88153630309143471</v>
      </c>
      <c r="D9" s="23">
        <v>0.92652861614466575</v>
      </c>
      <c r="E9" s="23">
        <v>0.95911832904949212</v>
      </c>
      <c r="F9" s="23">
        <v>0.9458975741897252</v>
      </c>
      <c r="G9" s="23">
        <v>0.95951956294643426</v>
      </c>
      <c r="H9" s="23">
        <v>0.95798706423235891</v>
      </c>
      <c r="I9">
        <v>1</v>
      </c>
    </row>
    <row r="10" spans="1:10" ht="15" thickBot="1" x14ac:dyDescent="0.35">
      <c r="A10" s="19" t="s">
        <v>43</v>
      </c>
      <c r="B10" s="25">
        <v>0.99614070607959293</v>
      </c>
      <c r="C10" s="25">
        <v>0.97121734105435253</v>
      </c>
      <c r="D10" s="25">
        <v>0.98574768131601465</v>
      </c>
      <c r="E10" s="25">
        <v>0.98540521319064844</v>
      </c>
      <c r="F10" s="25">
        <v>0.96058797787430528</v>
      </c>
      <c r="G10" s="25">
        <v>0.98458255172340292</v>
      </c>
      <c r="H10" s="25">
        <v>0.83004480003433367</v>
      </c>
      <c r="I10" s="25">
        <v>0.94620288050436896</v>
      </c>
      <c r="J10" s="1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37D0-C1F8-4CD9-82F9-EDC21F70E39B}">
  <dimension ref="A3:G7"/>
  <sheetViews>
    <sheetView workbookViewId="0">
      <selection activeCell="C18" sqref="C18"/>
    </sheetView>
  </sheetViews>
  <sheetFormatPr defaultRowHeight="14.4" x14ac:dyDescent="0.3"/>
  <cols>
    <col min="1" max="1" width="9.77734375" bestFit="1" customWidth="1"/>
    <col min="2" max="2" width="23.5546875" bestFit="1" customWidth="1"/>
    <col min="3" max="3" width="22.5546875" customWidth="1"/>
    <col min="4" max="4" width="23.6640625" bestFit="1" customWidth="1"/>
    <col min="5" max="5" width="23.5546875" bestFit="1" customWidth="1"/>
    <col min="6" max="6" width="23.44140625" bestFit="1" customWidth="1"/>
    <col min="7" max="7" width="22.5546875" bestFit="1" customWidth="1"/>
  </cols>
  <sheetData>
    <row r="3" spans="1:7" x14ac:dyDescent="0.3">
      <c r="A3" s="12" t="s">
        <v>15</v>
      </c>
      <c r="B3" t="s">
        <v>44</v>
      </c>
      <c r="C3" t="s">
        <v>46</v>
      </c>
      <c r="D3" t="s">
        <v>45</v>
      </c>
      <c r="E3" t="s">
        <v>47</v>
      </c>
      <c r="F3" t="s">
        <v>48</v>
      </c>
      <c r="G3" t="s">
        <v>49</v>
      </c>
    </row>
    <row r="4" spans="1:7" x14ac:dyDescent="0.3">
      <c r="A4" s="13" t="s">
        <v>16</v>
      </c>
      <c r="B4" s="7">
        <v>11.587524132696748</v>
      </c>
      <c r="C4" s="7">
        <v>13.723967721711263</v>
      </c>
      <c r="D4" s="7">
        <v>1.2846079607062724</v>
      </c>
      <c r="E4" s="7">
        <v>15.008575682417536</v>
      </c>
      <c r="F4" s="7">
        <v>2.1364487808368868</v>
      </c>
      <c r="G4" s="7">
        <v>3.3890497165277798</v>
      </c>
    </row>
    <row r="5" spans="1:7" x14ac:dyDescent="0.3">
      <c r="A5" s="13" t="s">
        <v>17</v>
      </c>
      <c r="B5" s="7">
        <v>11.570367409830011</v>
      </c>
      <c r="C5" s="7">
        <v>13.707399061666377</v>
      </c>
      <c r="D5" s="7">
        <v>1.2975988977370074</v>
      </c>
      <c r="E5" s="7">
        <v>15.004997959403385</v>
      </c>
      <c r="F5" s="7">
        <v>2.1370316518363683</v>
      </c>
      <c r="G5" s="7">
        <v>3.3924587559040016</v>
      </c>
    </row>
    <row r="6" spans="1:7" x14ac:dyDescent="0.3">
      <c r="A6" s="13" t="s">
        <v>18</v>
      </c>
      <c r="B6" s="7">
        <v>12.633119262365907</v>
      </c>
      <c r="C6" s="7">
        <v>15.904253486849768</v>
      </c>
      <c r="D6" s="7">
        <v>1.9221778674138776</v>
      </c>
      <c r="E6" s="7">
        <v>17.826431354263644</v>
      </c>
      <c r="F6" s="7">
        <v>3.271134224483859</v>
      </c>
      <c r="G6" s="7">
        <v>4.2985795356392202</v>
      </c>
    </row>
    <row r="7" spans="1:7" x14ac:dyDescent="0.3">
      <c r="A7" s="13" t="s">
        <v>19</v>
      </c>
      <c r="B7" s="7">
        <v>11.247504888437669</v>
      </c>
      <c r="C7" s="7">
        <v>12.905389283454094</v>
      </c>
      <c r="D7" s="7">
        <v>1.5118416128898113</v>
      </c>
      <c r="E7" s="7">
        <v>14.417230896343908</v>
      </c>
      <c r="F7" s="7">
        <v>1.6578843950164253</v>
      </c>
      <c r="G7" s="7">
        <v>3.1139636583245367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02F6-A17C-4699-8A47-C8054C47B006}">
  <dimension ref="A1:M33"/>
  <sheetViews>
    <sheetView zoomScale="67" workbookViewId="0">
      <selection activeCell="M2" sqref="M2"/>
    </sheetView>
  </sheetViews>
  <sheetFormatPr defaultRowHeight="14.4" x14ac:dyDescent="0.3"/>
  <cols>
    <col min="1" max="1" width="22" customWidth="1"/>
    <col min="2" max="2" width="19.44140625" customWidth="1"/>
    <col min="3" max="3" width="28.21875" customWidth="1"/>
    <col min="4" max="4" width="20.77734375" customWidth="1"/>
    <col min="5" max="5" width="26.33203125" customWidth="1"/>
    <col min="6" max="6" width="21.5546875" customWidth="1"/>
    <col min="7" max="7" width="31.6640625" customWidth="1"/>
    <col min="8" max="8" width="13.6640625" customWidth="1"/>
    <col min="9" max="9" width="16.6640625" customWidth="1"/>
    <col min="10" max="10" width="19.109375" customWidth="1"/>
    <col min="11" max="11" width="33.44140625" customWidth="1"/>
    <col min="12" max="12" width="13.77734375" customWidth="1"/>
    <col min="13" max="13" width="26.6640625" customWidth="1"/>
  </cols>
  <sheetData>
    <row r="1" spans="1:13" x14ac:dyDescent="0.3">
      <c r="A1" s="15" t="s">
        <v>0</v>
      </c>
      <c r="B1" s="15" t="s">
        <v>1</v>
      </c>
      <c r="C1" s="15" t="s">
        <v>62</v>
      </c>
      <c r="D1" s="15" t="s">
        <v>3</v>
      </c>
      <c r="E1" s="15" t="s">
        <v>63</v>
      </c>
      <c r="F1" s="15" t="s">
        <v>4</v>
      </c>
      <c r="G1" s="15" t="s">
        <v>64</v>
      </c>
      <c r="H1" s="15" t="s">
        <v>5</v>
      </c>
      <c r="I1" s="15" t="s">
        <v>20</v>
      </c>
      <c r="J1" s="15" t="s">
        <v>40</v>
      </c>
      <c r="K1" s="15" t="s">
        <v>65</v>
      </c>
      <c r="L1" s="15" t="s">
        <v>42</v>
      </c>
      <c r="M1" s="15" t="s">
        <v>66</v>
      </c>
    </row>
    <row r="2" spans="1:13" x14ac:dyDescent="0.3">
      <c r="A2" t="s">
        <v>7</v>
      </c>
      <c r="B2" s="3">
        <v>9779.64</v>
      </c>
      <c r="C2" s="9"/>
      <c r="D2" s="3">
        <v>15294.52</v>
      </c>
      <c r="E2" s="9"/>
      <c r="F2" s="3">
        <v>18423.580000000002</v>
      </c>
      <c r="G2" s="9"/>
      <c r="H2" s="2">
        <v>124389.42</v>
      </c>
      <c r="I2" s="9"/>
      <c r="J2" s="3">
        <v>1104.06</v>
      </c>
      <c r="L2" s="3">
        <v>4181.72</v>
      </c>
    </row>
    <row r="3" spans="1:13" x14ac:dyDescent="0.3">
      <c r="A3" t="str">
        <f t="shared" ref="A3:A21" si="0">LEFT(A2,4)+1&amp;"-"&amp;RIGHT(A2,4)+1</f>
        <v>2006-2007</v>
      </c>
      <c r="B3" s="3">
        <v>11941.82</v>
      </c>
      <c r="C3" s="9">
        <f>(B3-B2)/B2</f>
        <v>0.22108993787092371</v>
      </c>
      <c r="D3" s="3">
        <v>18186.62</v>
      </c>
      <c r="E3" s="9">
        <f>(D3-D2)/D2</f>
        <v>0.18909387153045656</v>
      </c>
      <c r="F3" s="3">
        <v>20824.57</v>
      </c>
      <c r="G3" s="9">
        <f>(F3-F2)/F2</f>
        <v>0.13032157702248953</v>
      </c>
      <c r="H3" s="2">
        <v>142470.04</v>
      </c>
      <c r="I3" s="9">
        <f>(H3-H2)/H2</f>
        <v>0.14535496668446568</v>
      </c>
      <c r="J3" s="3">
        <v>1251.97</v>
      </c>
      <c r="K3" s="9">
        <f>(J3-J2)/J2</f>
        <v>0.13396916834230033</v>
      </c>
      <c r="L3" s="3">
        <v>3821.87</v>
      </c>
      <c r="M3" s="8">
        <f>(L3-L2)/L2</f>
        <v>-8.6053107333824444E-2</v>
      </c>
    </row>
    <row r="4" spans="1:13" x14ac:dyDescent="0.3">
      <c r="A4" t="str">
        <f t="shared" si="0"/>
        <v>2007-2008</v>
      </c>
      <c r="B4" s="3">
        <v>13668.95</v>
      </c>
      <c r="C4" s="9">
        <f t="shared" ref="C4:C21" si="1">(B4-B3)/B3</f>
        <v>0.14462870818685938</v>
      </c>
      <c r="D4" s="3">
        <v>21106.79</v>
      </c>
      <c r="E4" s="9">
        <f t="shared" ref="E4:E21" si="2">(D4-D3)/D3</f>
        <v>0.16056694427001841</v>
      </c>
      <c r="F4" s="3">
        <v>24891.64</v>
      </c>
      <c r="G4" s="9">
        <f t="shared" ref="G4:G21" si="3">(F4-F3)/F3</f>
        <v>0.19530151162785112</v>
      </c>
      <c r="H4" s="2">
        <v>175141.08</v>
      </c>
      <c r="I4" s="9">
        <f t="shared" ref="I4:I21" si="4">(H4-H3)/H3</f>
        <v>0.22931866938480525</v>
      </c>
      <c r="J4" s="3">
        <v>2367.7399999999998</v>
      </c>
      <c r="K4" s="9">
        <f t="shared" ref="K4:K21" si="5">(J4-J3)/J3</f>
        <v>0.89121145075361208</v>
      </c>
      <c r="L4" s="3">
        <v>6100.21</v>
      </c>
      <c r="M4" s="8">
        <f t="shared" ref="M4:M21" si="6">(L4-L3)/L3</f>
        <v>0.59613225986231877</v>
      </c>
    </row>
    <row r="5" spans="1:13" x14ac:dyDescent="0.3">
      <c r="A5" t="str">
        <f t="shared" si="0"/>
        <v>2008-2009</v>
      </c>
      <c r="B5" s="3">
        <v>15990.18</v>
      </c>
      <c r="C5" s="9">
        <f t="shared" si="1"/>
        <v>0.16981772557511729</v>
      </c>
      <c r="D5" s="3">
        <v>24512.18</v>
      </c>
      <c r="E5" s="9">
        <f t="shared" si="2"/>
        <v>0.16134097131776073</v>
      </c>
      <c r="F5" s="3">
        <v>28223.85</v>
      </c>
      <c r="G5" s="9">
        <f t="shared" si="3"/>
        <v>0.13386864023423123</v>
      </c>
      <c r="H5" s="2">
        <v>201019.75</v>
      </c>
      <c r="I5" s="9">
        <f t="shared" si="4"/>
        <v>0.14775899520546529</v>
      </c>
      <c r="J5" s="3">
        <v>2679.29</v>
      </c>
      <c r="K5" s="9">
        <f t="shared" si="5"/>
        <v>0.13158117022983951</v>
      </c>
      <c r="L5" s="3">
        <v>6346.21</v>
      </c>
      <c r="M5" s="8">
        <f t="shared" si="6"/>
        <v>4.0326480563783872E-2</v>
      </c>
    </row>
    <row r="6" spans="1:13" x14ac:dyDescent="0.3">
      <c r="A6" t="str">
        <f t="shared" si="0"/>
        <v>2009-2010</v>
      </c>
      <c r="B6" s="3">
        <v>17625.02</v>
      </c>
      <c r="C6" s="9">
        <f t="shared" si="1"/>
        <v>0.10224024995340891</v>
      </c>
      <c r="D6" s="3">
        <v>26109.4</v>
      </c>
      <c r="E6" s="9">
        <f t="shared" si="2"/>
        <v>6.5160259103841489E-2</v>
      </c>
      <c r="F6" s="3">
        <v>31132.38</v>
      </c>
      <c r="G6" s="9">
        <f t="shared" si="3"/>
        <v>0.10305220584718253</v>
      </c>
      <c r="H6" s="2">
        <v>230315.55</v>
      </c>
      <c r="I6" s="9">
        <f t="shared" si="4"/>
        <v>0.1457359289323561</v>
      </c>
      <c r="J6" s="3">
        <v>2936.06</v>
      </c>
      <c r="K6" s="9">
        <f t="shared" si="5"/>
        <v>9.5835090639684387E-2</v>
      </c>
      <c r="L6" s="3">
        <v>7871.6</v>
      </c>
      <c r="M6" s="8">
        <f t="shared" si="6"/>
        <v>0.24036235800580194</v>
      </c>
    </row>
    <row r="7" spans="1:13" x14ac:dyDescent="0.3">
      <c r="A7" t="str">
        <f t="shared" si="0"/>
        <v>2010-2011</v>
      </c>
      <c r="B7" s="4">
        <v>21721.69</v>
      </c>
      <c r="C7" s="9">
        <f t="shared" si="1"/>
        <v>0.23243491354903417</v>
      </c>
      <c r="D7" s="4">
        <v>30990.95</v>
      </c>
      <c r="E7" s="9">
        <f t="shared" si="2"/>
        <v>0.18696523091300446</v>
      </c>
      <c r="F7" s="4">
        <v>34664.81</v>
      </c>
      <c r="G7" s="9">
        <f t="shared" si="3"/>
        <v>0.11346482344106029</v>
      </c>
      <c r="H7" s="2">
        <v>276996.7</v>
      </c>
      <c r="I7" s="9">
        <f t="shared" si="4"/>
        <v>0.202683448859619</v>
      </c>
      <c r="J7" s="4">
        <v>4125.43</v>
      </c>
      <c r="K7" s="9">
        <f t="shared" si="5"/>
        <v>0.40509049542584291</v>
      </c>
      <c r="L7" s="6">
        <v>7730.46</v>
      </c>
      <c r="M7" s="8">
        <f t="shared" si="6"/>
        <v>-1.7930281010213975E-2</v>
      </c>
    </row>
    <row r="8" spans="1:13" x14ac:dyDescent="0.3">
      <c r="A8" t="str">
        <f t="shared" si="0"/>
        <v>2011-2012</v>
      </c>
      <c r="B8" s="5">
        <v>25718.6</v>
      </c>
      <c r="C8" s="9">
        <f t="shared" si="1"/>
        <v>0.18400548023657459</v>
      </c>
      <c r="D8" s="4">
        <v>38010.36</v>
      </c>
      <c r="E8" s="9">
        <f t="shared" si="2"/>
        <v>0.22649870365380861</v>
      </c>
      <c r="F8" s="4">
        <v>46044.62</v>
      </c>
      <c r="G8" s="9">
        <f t="shared" si="3"/>
        <v>0.3282813319905693</v>
      </c>
      <c r="H8" s="2">
        <f>36404788/100</f>
        <v>364047.88</v>
      </c>
      <c r="I8" s="9">
        <f t="shared" si="4"/>
        <v>0.31426793171182182</v>
      </c>
      <c r="J8" s="4">
        <v>4851.46</v>
      </c>
      <c r="K8" s="9">
        <f t="shared" si="5"/>
        <v>0.17598892721485995</v>
      </c>
      <c r="L8" s="6">
        <v>12814.77</v>
      </c>
      <c r="M8" s="8">
        <f t="shared" si="6"/>
        <v>0.6576982482284367</v>
      </c>
    </row>
    <row r="9" spans="1:13" x14ac:dyDescent="0.3">
      <c r="A9" t="str">
        <f t="shared" si="0"/>
        <v>2012-2013</v>
      </c>
      <c r="B9" s="4">
        <v>30076.61</v>
      </c>
      <c r="C9" s="9">
        <f t="shared" si="1"/>
        <v>0.16944973676638705</v>
      </c>
      <c r="D9" s="4">
        <v>44137.31</v>
      </c>
      <c r="E9" s="9">
        <f t="shared" si="2"/>
        <v>0.16119158040071171</v>
      </c>
      <c r="F9" s="4">
        <v>53488.74</v>
      </c>
      <c r="G9" s="9">
        <f t="shared" si="3"/>
        <v>0.16167187393445737</v>
      </c>
      <c r="H9" s="2">
        <f>41231300/100</f>
        <v>412313</v>
      </c>
      <c r="I9" s="9">
        <f t="shared" si="4"/>
        <v>0.1325790442729676</v>
      </c>
      <c r="J9" s="4">
        <v>5739.44</v>
      </c>
      <c r="K9" s="9">
        <f t="shared" si="5"/>
        <v>0.18303356103111218</v>
      </c>
      <c r="L9" s="6">
        <v>15002.47</v>
      </c>
      <c r="M9" s="8">
        <f t="shared" si="6"/>
        <v>0.17071707100478578</v>
      </c>
    </row>
    <row r="10" spans="1:13" x14ac:dyDescent="0.3">
      <c r="A10" t="str">
        <f t="shared" si="0"/>
        <v>2013-2014</v>
      </c>
      <c r="B10" s="4">
        <v>31995.02</v>
      </c>
      <c r="C10" s="9">
        <f t="shared" si="1"/>
        <v>6.3784116627505549E-2</v>
      </c>
      <c r="D10" s="4">
        <v>49176.94</v>
      </c>
      <c r="E10" s="9">
        <f t="shared" si="2"/>
        <v>0.11418072374596469</v>
      </c>
      <c r="F10" s="4">
        <v>60485.5</v>
      </c>
      <c r="G10" s="9">
        <f t="shared" si="3"/>
        <v>0.13080809157217019</v>
      </c>
      <c r="H10" s="2">
        <f>46504121/100</f>
        <v>465041.21</v>
      </c>
      <c r="I10" s="9">
        <f t="shared" si="4"/>
        <v>0.12788393768811562</v>
      </c>
      <c r="J10" s="4">
        <v>5758.5</v>
      </c>
      <c r="K10" s="9">
        <f t="shared" si="5"/>
        <v>3.320881479726315E-3</v>
      </c>
      <c r="L10" s="6">
        <v>16944.12</v>
      </c>
      <c r="M10" s="8">
        <f t="shared" si="6"/>
        <v>0.12942202184040361</v>
      </c>
    </row>
    <row r="11" spans="1:13" x14ac:dyDescent="0.3">
      <c r="A11" t="str">
        <f t="shared" si="0"/>
        <v>2014-2015</v>
      </c>
      <c r="B11" s="5">
        <v>35232.5</v>
      </c>
      <c r="C11" s="9">
        <f t="shared" si="1"/>
        <v>0.10118699722644335</v>
      </c>
      <c r="D11" s="4">
        <v>57950.47</v>
      </c>
      <c r="E11" s="9">
        <f t="shared" si="2"/>
        <v>0.17840739989108714</v>
      </c>
      <c r="F11" s="4">
        <v>71746.429999999993</v>
      </c>
      <c r="G11" s="9">
        <f t="shared" si="3"/>
        <v>0.18617569500128117</v>
      </c>
      <c r="H11" s="2">
        <f>51256405/100</f>
        <v>512564.05</v>
      </c>
      <c r="I11" s="9">
        <f t="shared" si="4"/>
        <v>0.10219059940945871</v>
      </c>
      <c r="J11" s="4">
        <v>4997.68</v>
      </c>
      <c r="K11" s="9">
        <f t="shared" si="5"/>
        <v>-0.13212121212121208</v>
      </c>
      <c r="L11" s="6">
        <v>18641.73</v>
      </c>
      <c r="M11" s="8">
        <f t="shared" si="6"/>
        <v>0.10018873804009891</v>
      </c>
    </row>
    <row r="12" spans="1:13" x14ac:dyDescent="0.3">
      <c r="A12" t="str">
        <f t="shared" si="0"/>
        <v>2015-2016</v>
      </c>
      <c r="B12" s="4">
        <v>38995.15</v>
      </c>
      <c r="C12" s="9">
        <f t="shared" si="1"/>
        <v>0.10679486269779327</v>
      </c>
      <c r="D12" s="4">
        <v>69032.66</v>
      </c>
      <c r="E12" s="9">
        <f t="shared" si="2"/>
        <v>0.19123554994463379</v>
      </c>
      <c r="F12" s="4">
        <v>78689.47</v>
      </c>
      <c r="G12" s="9">
        <f t="shared" si="3"/>
        <v>9.6771923007179711E-2</v>
      </c>
      <c r="H12" s="2">
        <f>56199361/100</f>
        <v>561993.61</v>
      </c>
      <c r="I12" s="9">
        <f t="shared" si="4"/>
        <v>9.6435869819586448E-2</v>
      </c>
      <c r="J12" s="4">
        <v>8342.2900000000009</v>
      </c>
      <c r="K12" s="9">
        <f t="shared" si="5"/>
        <v>0.66923252389108556</v>
      </c>
      <c r="L12" s="6">
        <v>17818.39</v>
      </c>
      <c r="M12" s="8">
        <f t="shared" si="6"/>
        <v>-4.4166501714164946E-2</v>
      </c>
    </row>
    <row r="13" spans="1:13" x14ac:dyDescent="0.3">
      <c r="A13" t="str">
        <f t="shared" si="0"/>
        <v>2016-2017</v>
      </c>
      <c r="B13" s="4">
        <v>42176.38</v>
      </c>
      <c r="C13" s="9">
        <f t="shared" si="1"/>
        <v>8.1580145223187905E-2</v>
      </c>
      <c r="D13" s="4">
        <v>75611.72</v>
      </c>
      <c r="E13" s="9">
        <f t="shared" si="2"/>
        <v>9.530358528847066E-2</v>
      </c>
      <c r="F13" s="4">
        <v>91096.31</v>
      </c>
      <c r="G13" s="9">
        <f t="shared" si="3"/>
        <v>0.15766836401363482</v>
      </c>
      <c r="H13" s="2">
        <f>63488640/100</f>
        <v>634886.40000000002</v>
      </c>
      <c r="I13" s="9">
        <f t="shared" si="4"/>
        <v>0.12970394805734542</v>
      </c>
      <c r="J13" s="4">
        <v>11286.25</v>
      </c>
      <c r="K13" s="9">
        <f t="shared" si="5"/>
        <v>0.3528959074786418</v>
      </c>
      <c r="L13" s="6">
        <v>26448.35</v>
      </c>
      <c r="M13" s="8">
        <f t="shared" si="6"/>
        <v>0.48432883105600444</v>
      </c>
    </row>
    <row r="14" spans="1:13" x14ac:dyDescent="0.3">
      <c r="A14" t="str">
        <f t="shared" si="0"/>
        <v>2017-2018</v>
      </c>
      <c r="B14" s="4">
        <v>46459.61</v>
      </c>
      <c r="C14" s="9">
        <f t="shared" si="1"/>
        <v>0.10155518325660011</v>
      </c>
      <c r="D14" s="4">
        <v>83020.14</v>
      </c>
      <c r="E14" s="9">
        <f t="shared" si="2"/>
        <v>9.7979784086382346E-2</v>
      </c>
      <c r="F14" s="4">
        <v>99948.35</v>
      </c>
      <c r="G14" s="9">
        <f t="shared" si="3"/>
        <v>9.7172322347634149E-2</v>
      </c>
      <c r="H14" s="2">
        <f>70158826/100</f>
        <v>701588.26</v>
      </c>
      <c r="I14" s="9">
        <f t="shared" si="4"/>
        <v>0.10506109439420971</v>
      </c>
      <c r="J14" s="4">
        <v>10289.459999999999</v>
      </c>
      <c r="K14" s="9">
        <f t="shared" si="5"/>
        <v>-8.8318972200686754E-2</v>
      </c>
      <c r="L14" s="6">
        <v>26837.41</v>
      </c>
      <c r="M14" s="8">
        <f t="shared" si="6"/>
        <v>1.4710180408229676E-2</v>
      </c>
    </row>
    <row r="15" spans="1:13" x14ac:dyDescent="0.3">
      <c r="A15" t="str">
        <f t="shared" si="0"/>
        <v>2018-2019</v>
      </c>
      <c r="B15" s="5">
        <v>50644.1</v>
      </c>
      <c r="C15" s="9">
        <f t="shared" si="1"/>
        <v>9.0067264878030573E-2</v>
      </c>
      <c r="D15" s="4">
        <v>92854.47</v>
      </c>
      <c r="E15" s="9">
        <f t="shared" si="2"/>
        <v>0.11845715991324517</v>
      </c>
      <c r="F15" s="4">
        <v>110316.39</v>
      </c>
      <c r="G15" s="9">
        <f t="shared" si="3"/>
        <v>0.10373397859994681</v>
      </c>
      <c r="H15" s="2">
        <f>78828558/100</f>
        <v>788285.58</v>
      </c>
      <c r="I15" s="9">
        <f t="shared" si="4"/>
        <v>0.12357293435896426</v>
      </c>
      <c r="J15" s="4">
        <v>9753.43</v>
      </c>
      <c r="K15" s="9">
        <f t="shared" si="5"/>
        <v>-5.2095056494704181E-2</v>
      </c>
      <c r="L15" s="6">
        <v>26958.3</v>
      </c>
      <c r="M15" s="8">
        <f t="shared" si="6"/>
        <v>4.5045330380241392E-3</v>
      </c>
    </row>
    <row r="16" spans="1:13" x14ac:dyDescent="0.3">
      <c r="A16" t="str">
        <f t="shared" si="0"/>
        <v>2019-2020</v>
      </c>
      <c r="B16" s="4">
        <v>50323.14</v>
      </c>
      <c r="C16" s="9">
        <f t="shared" si="1"/>
        <v>-6.3375595577767029E-3</v>
      </c>
      <c r="D16" s="4">
        <v>90224.67</v>
      </c>
      <c r="E16" s="9">
        <f t="shared" si="2"/>
        <v>-2.8321738307267308E-2</v>
      </c>
      <c r="F16" s="4">
        <v>104719.92</v>
      </c>
      <c r="G16" s="9">
        <f t="shared" si="3"/>
        <v>-5.073108356790864E-2</v>
      </c>
      <c r="H16" s="2">
        <f>81293463/100</f>
        <v>812934.63</v>
      </c>
      <c r="I16" s="9">
        <f t="shared" si="4"/>
        <v>3.1269188001637742E-2</v>
      </c>
      <c r="J16" s="4">
        <v>9665.02</v>
      </c>
      <c r="K16" s="9">
        <f t="shared" si="5"/>
        <v>-9.0645034618590439E-3</v>
      </c>
      <c r="L16" s="6">
        <v>23837.48</v>
      </c>
      <c r="M16" s="8">
        <f t="shared" si="6"/>
        <v>-0.11576471810166071</v>
      </c>
    </row>
    <row r="17" spans="1:13" x14ac:dyDescent="0.3">
      <c r="A17" t="str">
        <f t="shared" si="0"/>
        <v>2020-2021</v>
      </c>
      <c r="B17" s="4">
        <v>47660.84</v>
      </c>
      <c r="C17" s="9">
        <f t="shared" si="1"/>
        <v>-5.2904091437855488E-2</v>
      </c>
      <c r="D17" s="4">
        <v>97616.83</v>
      </c>
      <c r="E17" s="9">
        <f t="shared" si="2"/>
        <v>8.1930585060604855E-2</v>
      </c>
      <c r="F17" s="4">
        <v>123446.33</v>
      </c>
      <c r="G17" s="9">
        <f t="shared" si="3"/>
        <v>0.17882376151547866</v>
      </c>
      <c r="H17" s="2">
        <f>77172389/100</f>
        <v>771723.89</v>
      </c>
      <c r="I17" s="9">
        <f t="shared" si="4"/>
        <v>-5.0693793177441576E-2</v>
      </c>
      <c r="J17" s="4">
        <v>15438.16</v>
      </c>
      <c r="K17" s="9">
        <f t="shared" si="5"/>
        <v>0.59732313021597461</v>
      </c>
      <c r="L17" s="6">
        <v>35203.69</v>
      </c>
      <c r="M17" s="8">
        <f t="shared" si="6"/>
        <v>0.47682095590641305</v>
      </c>
    </row>
    <row r="18" spans="1:13" x14ac:dyDescent="0.3">
      <c r="A18" t="str">
        <f t="shared" si="0"/>
        <v>2021-2022</v>
      </c>
      <c r="B18" s="4">
        <v>58340.52</v>
      </c>
      <c r="C18" s="9">
        <f t="shared" si="1"/>
        <v>0.22407662139399978</v>
      </c>
      <c r="D18" s="4">
        <v>116640.24</v>
      </c>
      <c r="E18" s="9">
        <f t="shared" si="2"/>
        <v>0.19487838316405073</v>
      </c>
      <c r="F18" s="4">
        <v>146179.51</v>
      </c>
      <c r="G18" s="9">
        <f t="shared" si="3"/>
        <v>0.1841543608465315</v>
      </c>
      <c r="H18" s="2">
        <f>92446542/100</f>
        <v>924465.42</v>
      </c>
      <c r="I18" s="9">
        <f t="shared" si="4"/>
        <v>0.19792251086071733</v>
      </c>
      <c r="J18" s="4">
        <v>17046.02</v>
      </c>
      <c r="K18" s="9">
        <f t="shared" si="5"/>
        <v>0.10414842183265367</v>
      </c>
      <c r="L18" s="6">
        <v>37306.47</v>
      </c>
      <c r="M18" s="8">
        <f t="shared" si="6"/>
        <v>5.9731806523691089E-2</v>
      </c>
    </row>
    <row r="19" spans="1:13" x14ac:dyDescent="0.3">
      <c r="A19" t="str">
        <f t="shared" si="0"/>
        <v>2022-2023</v>
      </c>
      <c r="B19" s="4">
        <v>71968.160000000003</v>
      </c>
      <c r="C19" s="9">
        <f t="shared" si="1"/>
        <v>0.23358790768405915</v>
      </c>
      <c r="D19" s="4">
        <v>132724.65</v>
      </c>
      <c r="E19" s="9">
        <f t="shared" si="2"/>
        <v>0.13789760720656943</v>
      </c>
      <c r="F19" s="4">
        <v>141950.94</v>
      </c>
      <c r="G19" s="9">
        <f t="shared" si="3"/>
        <v>-2.8927241581258596E-2</v>
      </c>
      <c r="H19" s="2">
        <f>103873406/100</f>
        <v>1038734.06</v>
      </c>
      <c r="I19" s="9">
        <f t="shared" si="4"/>
        <v>0.12360509925833679</v>
      </c>
      <c r="J19" s="4">
        <v>16787.490000000002</v>
      </c>
      <c r="K19" s="9">
        <f t="shared" si="5"/>
        <v>-1.5166590206980798E-2</v>
      </c>
      <c r="L19" s="6">
        <v>25554.54</v>
      </c>
      <c r="M19" s="8">
        <f t="shared" si="6"/>
        <v>-0.31501050622050275</v>
      </c>
    </row>
    <row r="20" spans="1:13" x14ac:dyDescent="0.3">
      <c r="A20" t="str">
        <f t="shared" si="0"/>
        <v>2023-2024</v>
      </c>
      <c r="B20" s="4">
        <v>74329.009999999995</v>
      </c>
      <c r="C20" s="9">
        <f t="shared" si="1"/>
        <v>3.2804090030924667E-2</v>
      </c>
      <c r="D20" s="4">
        <v>124486.15</v>
      </c>
      <c r="E20" s="9">
        <f t="shared" si="2"/>
        <v>-6.2072116972996354E-2</v>
      </c>
      <c r="F20" s="4">
        <v>142626.34</v>
      </c>
      <c r="G20" s="9">
        <f t="shared" si="3"/>
        <v>4.7579818774007004E-3</v>
      </c>
      <c r="H20" s="2">
        <f>113537156/100</f>
        <v>1135371.56</v>
      </c>
      <c r="I20" s="9">
        <f t="shared" si="4"/>
        <v>9.3033918614356392E-2</v>
      </c>
      <c r="J20" s="4">
        <v>16880.169999999998</v>
      </c>
      <c r="K20" s="9">
        <f t="shared" si="5"/>
        <v>5.5207776743275289E-3</v>
      </c>
      <c r="L20" s="6">
        <v>34258.050000000003</v>
      </c>
      <c r="M20" s="8">
        <f t="shared" si="6"/>
        <v>0.34058566501294885</v>
      </c>
    </row>
    <row r="21" spans="1:13" x14ac:dyDescent="0.3">
      <c r="A21" t="str">
        <f t="shared" si="0"/>
        <v>2024-2025</v>
      </c>
      <c r="B21" s="2">
        <v>76642.2</v>
      </c>
      <c r="C21" s="9">
        <f t="shared" si="1"/>
        <v>3.1120958021639229E-2</v>
      </c>
      <c r="D21" s="2">
        <v>124861.07</v>
      </c>
      <c r="E21" s="9">
        <f t="shared" si="2"/>
        <v>3.0117406635196994E-3</v>
      </c>
      <c r="F21" s="2">
        <v>155920.79</v>
      </c>
      <c r="G21" s="9">
        <f t="shared" si="3"/>
        <v>9.3211744759067724E-2</v>
      </c>
      <c r="H21" s="2">
        <f>124853301/100</f>
        <v>1248533.01</v>
      </c>
      <c r="I21" s="9">
        <f t="shared" si="4"/>
        <v>9.9669089826417659E-2</v>
      </c>
      <c r="J21" s="2">
        <v>17886.77</v>
      </c>
      <c r="K21" s="9">
        <f t="shared" si="5"/>
        <v>5.9632100861543594E-2</v>
      </c>
      <c r="L21" s="6">
        <v>48248.14</v>
      </c>
      <c r="M21" s="8">
        <f t="shared" si="6"/>
        <v>0.4083737982751498</v>
      </c>
    </row>
    <row r="27" spans="1:13" x14ac:dyDescent="0.3">
      <c r="A27" s="14" t="s">
        <v>8</v>
      </c>
      <c r="B27" s="16" t="s">
        <v>26</v>
      </c>
      <c r="C27" s="17" t="s">
        <v>0</v>
      </c>
      <c r="D27" s="16" t="s">
        <v>27</v>
      </c>
      <c r="E27" s="17" t="s">
        <v>0</v>
      </c>
    </row>
    <row r="28" spans="1:13" x14ac:dyDescent="0.3">
      <c r="A28" s="15" t="s">
        <v>1</v>
      </c>
      <c r="B28" s="21">
        <v>0.2336</v>
      </c>
      <c r="C28" s="20" t="s">
        <v>21</v>
      </c>
      <c r="D28" s="21">
        <v>-5.2900000000000003E-2</v>
      </c>
      <c r="E28" s="20" t="s">
        <v>22</v>
      </c>
    </row>
    <row r="29" spans="1:13" x14ac:dyDescent="0.3">
      <c r="A29" s="15" t="s">
        <v>3</v>
      </c>
      <c r="B29" s="21">
        <v>0.22650000000000001</v>
      </c>
      <c r="C29" s="20" t="s">
        <v>23</v>
      </c>
      <c r="D29" s="21">
        <v>-6.2100000000000002E-2</v>
      </c>
      <c r="E29" s="20" t="s">
        <v>24</v>
      </c>
    </row>
    <row r="30" spans="1:13" x14ac:dyDescent="0.3">
      <c r="A30" s="15" t="s">
        <v>4</v>
      </c>
      <c r="B30" s="21">
        <v>0.32829999999999998</v>
      </c>
      <c r="C30" s="20" t="s">
        <v>23</v>
      </c>
      <c r="D30" s="21">
        <v>-5.0700000000000002E-2</v>
      </c>
      <c r="E30" s="20" t="s">
        <v>25</v>
      </c>
    </row>
    <row r="31" spans="1:13" x14ac:dyDescent="0.3">
      <c r="A31" s="15" t="s">
        <v>40</v>
      </c>
      <c r="B31" s="8">
        <f>MAX(K3:K21)</f>
        <v>0.89121145075361208</v>
      </c>
      <c r="C31" s="20" t="s">
        <v>50</v>
      </c>
      <c r="D31" s="8">
        <f>MIN(K3:K21)</f>
        <v>-0.13212121212121208</v>
      </c>
      <c r="E31" s="20" t="s">
        <v>37</v>
      </c>
    </row>
    <row r="32" spans="1:13" x14ac:dyDescent="0.3">
      <c r="A32" s="15" t="s">
        <v>42</v>
      </c>
      <c r="B32" s="8">
        <f>MAX(M3:M21)</f>
        <v>0.6576982482284367</v>
      </c>
      <c r="C32" s="20" t="s">
        <v>23</v>
      </c>
      <c r="D32" s="8">
        <f>MIN(M3:M21)</f>
        <v>-0.31501050622050275</v>
      </c>
      <c r="E32" s="20" t="s">
        <v>21</v>
      </c>
    </row>
    <row r="33" spans="1:5" x14ac:dyDescent="0.3">
      <c r="A33" s="15" t="s">
        <v>5</v>
      </c>
      <c r="B33" s="21">
        <v>0.31430000000000002</v>
      </c>
      <c r="C33" s="20" t="s">
        <v>23</v>
      </c>
      <c r="D33" s="21">
        <v>-5.0700000000000002E-2</v>
      </c>
      <c r="E33" s="20" t="s">
        <v>22</v>
      </c>
    </row>
  </sheetData>
  <pageMargins left="0.7" right="0.7" top="0.75" bottom="0.75" header="0.3" footer="0.3"/>
  <ignoredErrors>
    <ignoredError sqref="H8 H9:H2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E2F9-52EC-4C98-A771-EE06F1C57F8A}">
  <dimension ref="A1"/>
  <sheetViews>
    <sheetView topLeftCell="B1" zoomScale="84" workbookViewId="0">
      <selection activeCell="K23" sqref="K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CC58-177E-49D5-8E98-40650C8D4A86}">
  <dimension ref="A1:O24"/>
  <sheetViews>
    <sheetView zoomScale="94" workbookViewId="0">
      <selection activeCell="G25" sqref="G25"/>
    </sheetView>
  </sheetViews>
  <sheetFormatPr defaultRowHeight="14.4" x14ac:dyDescent="0.3"/>
  <cols>
    <col min="1" max="1" width="11.21875" customWidth="1"/>
    <col min="2" max="2" width="12" customWidth="1"/>
    <col min="3" max="4" width="11.5546875" customWidth="1"/>
    <col min="5" max="5" width="10.88671875" customWidth="1"/>
    <col min="6" max="6" width="12" customWidth="1"/>
    <col min="7" max="7" width="12.77734375" customWidth="1"/>
    <col min="8" max="8" width="13.33203125" customWidth="1"/>
    <col min="9" max="9" width="12.109375" customWidth="1"/>
    <col min="10" max="10" width="9.5546875" customWidth="1"/>
    <col min="11" max="11" width="11.33203125" customWidth="1"/>
    <col min="12" max="12" width="11.77734375" customWidth="1"/>
    <col min="13" max="13" width="12.77734375" customWidth="1"/>
    <col min="14" max="14" width="21" customWidth="1"/>
    <col min="15" max="15" width="9.21875" customWidth="1"/>
  </cols>
  <sheetData>
    <row r="1" spans="1:15" x14ac:dyDescent="0.3">
      <c r="A1" s="15" t="s">
        <v>0</v>
      </c>
      <c r="B1" s="15" t="s">
        <v>28</v>
      </c>
      <c r="C1" s="15" t="s">
        <v>29</v>
      </c>
      <c r="D1" s="15" t="s">
        <v>30</v>
      </c>
      <c r="E1" s="15" t="s">
        <v>32</v>
      </c>
      <c r="F1" s="15" t="s">
        <v>33</v>
      </c>
      <c r="G1" s="15" t="s">
        <v>34</v>
      </c>
      <c r="H1" s="15" t="s">
        <v>51</v>
      </c>
      <c r="I1" s="15" t="s">
        <v>52</v>
      </c>
      <c r="J1" s="15" t="s">
        <v>55</v>
      </c>
      <c r="K1" s="15" t="s">
        <v>54</v>
      </c>
      <c r="L1" s="15" t="s">
        <v>53</v>
      </c>
      <c r="M1" s="15" t="s">
        <v>56</v>
      </c>
      <c r="N1" s="15" t="s">
        <v>35</v>
      </c>
      <c r="O1" s="15" t="s">
        <v>36</v>
      </c>
    </row>
    <row r="2" spans="1:15" x14ac:dyDescent="0.3">
      <c r="A2" t="s">
        <v>7</v>
      </c>
      <c r="B2">
        <v>12.3</v>
      </c>
      <c r="C2">
        <v>14.81</v>
      </c>
      <c r="D2">
        <v>2.52</v>
      </c>
      <c r="E2">
        <f>($B$23-B2)/$B$24</f>
        <v>-0.79020255278038354</v>
      </c>
      <c r="F2">
        <f>(C2-$C$23)/$C$24</f>
        <v>0.97007535276508328</v>
      </c>
      <c r="G2">
        <f>(D2-$D$23)/$D$24</f>
        <v>0.58725757866192185</v>
      </c>
      <c r="H2">
        <v>0.89</v>
      </c>
      <c r="I2">
        <v>15.7</v>
      </c>
      <c r="J2">
        <v>3.36</v>
      </c>
      <c r="K2">
        <f>($H$23-H2)/$H$24</f>
        <v>1.7032574721701188</v>
      </c>
      <c r="L2">
        <f>($I$23-I2)/$I$24</f>
        <v>-0.4387936913929662</v>
      </c>
      <c r="M2">
        <f>($J$23-J2)/$J$24</f>
        <v>0.15256283441192156</v>
      </c>
      <c r="N2">
        <f>AVERAGE(E2:G2,K2:M2)</f>
        <v>0.36402616563928253</v>
      </c>
      <c r="O2">
        <f>RANK(N2,$N$2:$N$21,1)</f>
        <v>19</v>
      </c>
    </row>
    <row r="3" spans="1:15" x14ac:dyDescent="0.3">
      <c r="A3" t="str">
        <f t="shared" ref="A3:A21" si="0">LEFT(A2,4)+1&amp;"-"&amp;RIGHT(A2,4)+1</f>
        <v>2006-2007</v>
      </c>
      <c r="B3">
        <v>12.77</v>
      </c>
      <c r="C3">
        <v>14.62</v>
      </c>
      <c r="D3">
        <v>1.85</v>
      </c>
      <c r="E3">
        <f t="shared" ref="E3:E21" si="1">($B$23-B3)/$B$24</f>
        <v>-1.3516465434179954</v>
      </c>
      <c r="F3">
        <f t="shared" ref="F3:F21" si="2">(C3-$C$23)/$C$24</f>
        <v>0.78446174045353512</v>
      </c>
      <c r="G3">
        <f t="shared" ref="G3:G21" si="3">(D3-$D$23)/$D$24</f>
        <v>-0.56828596819120025</v>
      </c>
      <c r="H3">
        <v>0.88</v>
      </c>
      <c r="I3">
        <v>15.5</v>
      </c>
      <c r="J3">
        <v>2.68</v>
      </c>
      <c r="K3">
        <f t="shared" ref="K3:K21" si="4">($H$23-H3)/$H$24</f>
        <v>1.7377015059854903</v>
      </c>
      <c r="L3">
        <f t="shared" ref="L3:L21" si="5">($I$23-I3)/$I$24</f>
        <v>-0.26310052166605324</v>
      </c>
      <c r="M3">
        <f t="shared" ref="M3:M21" si="6">($J$23-J3)/$J$24</f>
        <v>1.4575028017088545</v>
      </c>
      <c r="N3">
        <f t="shared" ref="N3:N21" si="7">AVERAGE(E3:G3,K3:M3)</f>
        <v>0.29943883581210518</v>
      </c>
      <c r="O3">
        <f t="shared" ref="O3:O21" si="8">RANK(N3,$N$2:$N$21,1)</f>
        <v>17</v>
      </c>
    </row>
    <row r="4" spans="1:15" x14ac:dyDescent="0.3">
      <c r="A4" t="str">
        <f t="shared" si="0"/>
        <v>2007-2008</v>
      </c>
      <c r="B4">
        <v>12.05</v>
      </c>
      <c r="C4">
        <v>14.21</v>
      </c>
      <c r="D4">
        <v>2.16</v>
      </c>
      <c r="E4">
        <f t="shared" si="1"/>
        <v>-0.49156213222846162</v>
      </c>
      <c r="F4">
        <f t="shared" si="2"/>
        <v>0.38392710336019864</v>
      </c>
      <c r="G4">
        <f t="shared" si="3"/>
        <v>-3.3631491289009288E-2</v>
      </c>
      <c r="H4">
        <v>1.35</v>
      </c>
      <c r="I4">
        <v>15.56</v>
      </c>
      <c r="J4">
        <v>3.48</v>
      </c>
      <c r="K4">
        <f t="shared" si="4"/>
        <v>0.11883191666303144</v>
      </c>
      <c r="L4">
        <f t="shared" si="5"/>
        <v>-0.31580847258412775</v>
      </c>
      <c r="M4">
        <f t="shared" si="6"/>
        <v>-7.772068922871396E-2</v>
      </c>
      <c r="N4">
        <f t="shared" si="7"/>
        <v>-6.9327294217847085E-2</v>
      </c>
      <c r="O4">
        <f t="shared" si="8"/>
        <v>8</v>
      </c>
    </row>
    <row r="5" spans="1:15" x14ac:dyDescent="0.3">
      <c r="A5" t="str">
        <f t="shared" si="0"/>
        <v>2008-2009</v>
      </c>
      <c r="B5">
        <v>12.19</v>
      </c>
      <c r="C5">
        <v>14.04</v>
      </c>
      <c r="D5">
        <v>1.85</v>
      </c>
      <c r="E5">
        <f t="shared" si="1"/>
        <v>-0.65880076773753649</v>
      </c>
      <c r="F5">
        <f t="shared" si="2"/>
        <v>0.21785176602881287</v>
      </c>
      <c r="G5">
        <f t="shared" si="3"/>
        <v>-0.56828596819120025</v>
      </c>
      <c r="H5">
        <v>1.33</v>
      </c>
      <c r="I5">
        <v>15.37</v>
      </c>
      <c r="J5">
        <v>3.16</v>
      </c>
      <c r="K5">
        <f t="shared" si="4"/>
        <v>0.18771998429377443</v>
      </c>
      <c r="L5">
        <f t="shared" si="5"/>
        <v>-0.14889996134355868</v>
      </c>
      <c r="M5">
        <f t="shared" si="6"/>
        <v>0.53636870714631324</v>
      </c>
      <c r="N5">
        <f t="shared" si="7"/>
        <v>-7.2341039967232471E-2</v>
      </c>
      <c r="O5">
        <f t="shared" si="8"/>
        <v>7</v>
      </c>
    </row>
    <row r="6" spans="1:15" x14ac:dyDescent="0.3">
      <c r="A6" t="str">
        <f t="shared" si="0"/>
        <v>2009-2010</v>
      </c>
      <c r="B6">
        <v>11.34</v>
      </c>
      <c r="C6">
        <v>13.52</v>
      </c>
      <c r="D6">
        <v>2.1800000000000002</v>
      </c>
      <c r="E6">
        <f t="shared" si="1"/>
        <v>0.35657666213899769</v>
      </c>
      <c r="F6">
        <f t="shared" si="2"/>
        <v>-0.2901433834554204</v>
      </c>
      <c r="G6">
        <f t="shared" si="3"/>
        <v>8.623459304869267E-4</v>
      </c>
      <c r="H6">
        <v>1.27</v>
      </c>
      <c r="I6">
        <v>14.79</v>
      </c>
      <c r="J6">
        <v>3.42</v>
      </c>
      <c r="K6">
        <f t="shared" si="4"/>
        <v>0.39438418718600338</v>
      </c>
      <c r="L6">
        <f t="shared" si="5"/>
        <v>0.36061023086449084</v>
      </c>
      <c r="M6">
        <f t="shared" si="6"/>
        <v>3.74210725916038E-2</v>
      </c>
      <c r="N6">
        <f t="shared" si="7"/>
        <v>0.14328518587602704</v>
      </c>
      <c r="O6">
        <f t="shared" si="8"/>
        <v>13</v>
      </c>
    </row>
    <row r="7" spans="1:15" x14ac:dyDescent="0.3">
      <c r="A7" t="str">
        <f t="shared" si="0"/>
        <v>2010-2011</v>
      </c>
      <c r="B7">
        <v>11.19</v>
      </c>
      <c r="C7">
        <v>12.51</v>
      </c>
      <c r="D7">
        <v>1.33</v>
      </c>
      <c r="E7">
        <f t="shared" si="1"/>
        <v>0.53576091447015128</v>
      </c>
      <c r="F7">
        <f t="shared" si="2"/>
        <v>-1.2768262699536432</v>
      </c>
      <c r="G7">
        <f t="shared" si="3"/>
        <v>-1.4651257358981011</v>
      </c>
      <c r="H7">
        <v>1.49</v>
      </c>
      <c r="I7">
        <v>14</v>
      </c>
      <c r="J7">
        <v>2.79</v>
      </c>
      <c r="K7">
        <f t="shared" si="4"/>
        <v>-0.36338455675216863</v>
      </c>
      <c r="L7">
        <f t="shared" si="5"/>
        <v>1.054598251285799</v>
      </c>
      <c r="M7">
        <f t="shared" si="6"/>
        <v>1.246409571704939</v>
      </c>
      <c r="N7">
        <f t="shared" si="7"/>
        <v>-4.4761304190503948E-2</v>
      </c>
      <c r="O7">
        <f t="shared" si="8"/>
        <v>9</v>
      </c>
    </row>
    <row r="8" spans="1:15" x14ac:dyDescent="0.3">
      <c r="A8" t="str">
        <f t="shared" si="0"/>
        <v>2011-2012</v>
      </c>
      <c r="B8">
        <v>10.44</v>
      </c>
      <c r="C8">
        <v>12.65</v>
      </c>
      <c r="D8">
        <v>2.21</v>
      </c>
      <c r="E8">
        <f t="shared" si="1"/>
        <v>1.4316821761259171</v>
      </c>
      <c r="F8">
        <f t="shared" si="2"/>
        <v>-1.140058345092503</v>
      </c>
      <c r="G8">
        <f t="shared" si="3"/>
        <v>5.2603101759730868E-2</v>
      </c>
      <c r="H8">
        <v>1.33</v>
      </c>
      <c r="I8">
        <v>13.98</v>
      </c>
      <c r="J8">
        <v>3.52</v>
      </c>
      <c r="K8">
        <f t="shared" si="4"/>
        <v>0.18771998429377443</v>
      </c>
      <c r="L8">
        <f t="shared" si="5"/>
        <v>1.0721675682584899</v>
      </c>
      <c r="M8">
        <f t="shared" si="6"/>
        <v>-0.15448186377559245</v>
      </c>
      <c r="N8">
        <f t="shared" si="7"/>
        <v>0.2416054369283028</v>
      </c>
      <c r="O8">
        <f t="shared" si="8"/>
        <v>15</v>
      </c>
    </row>
    <row r="9" spans="1:15" x14ac:dyDescent="0.3">
      <c r="A9" t="str">
        <f t="shared" si="0"/>
        <v>2012-2013</v>
      </c>
      <c r="B9">
        <v>10.7</v>
      </c>
      <c r="C9">
        <v>12.97</v>
      </c>
      <c r="D9">
        <v>2.27</v>
      </c>
      <c r="E9">
        <f t="shared" si="1"/>
        <v>1.1210961387519185</v>
      </c>
      <c r="F9">
        <f t="shared" si="2"/>
        <v>-0.82744594540989735</v>
      </c>
      <c r="G9">
        <f t="shared" si="3"/>
        <v>0.15608461341821953</v>
      </c>
      <c r="H9">
        <v>1.39</v>
      </c>
      <c r="I9">
        <v>14.36</v>
      </c>
      <c r="J9">
        <v>3.64</v>
      </c>
      <c r="K9">
        <f t="shared" si="4"/>
        <v>-1.8944218598453744E-2</v>
      </c>
      <c r="L9">
        <f t="shared" si="5"/>
        <v>0.73835054577735493</v>
      </c>
      <c r="M9">
        <f t="shared" si="6"/>
        <v>-0.38476538741622796</v>
      </c>
      <c r="N9">
        <f t="shared" si="7"/>
        <v>0.13072929108715228</v>
      </c>
      <c r="O9">
        <f t="shared" si="8"/>
        <v>12</v>
      </c>
    </row>
    <row r="10" spans="1:15" x14ac:dyDescent="0.3">
      <c r="A10" t="str">
        <f t="shared" si="0"/>
        <v>2013-2014</v>
      </c>
      <c r="B10">
        <v>10.57</v>
      </c>
      <c r="C10">
        <v>13.01</v>
      </c>
      <c r="D10">
        <v>2.4300000000000002</v>
      </c>
      <c r="E10">
        <f t="shared" si="1"/>
        <v>1.2763891574389168</v>
      </c>
      <c r="F10">
        <f t="shared" si="2"/>
        <v>-0.78836939544957252</v>
      </c>
      <c r="G10">
        <f t="shared" si="3"/>
        <v>0.43203531117418925</v>
      </c>
      <c r="H10">
        <v>1.24</v>
      </c>
      <c r="I10">
        <v>14.24</v>
      </c>
      <c r="J10">
        <v>3.64</v>
      </c>
      <c r="K10">
        <f t="shared" si="4"/>
        <v>0.49771628863211781</v>
      </c>
      <c r="L10">
        <f t="shared" si="5"/>
        <v>0.84376644761350239</v>
      </c>
      <c r="M10">
        <f t="shared" si="6"/>
        <v>-0.38476538741622796</v>
      </c>
      <c r="N10">
        <f t="shared" si="7"/>
        <v>0.31279540366548758</v>
      </c>
      <c r="O10">
        <f t="shared" si="8"/>
        <v>18</v>
      </c>
    </row>
    <row r="11" spans="1:15" x14ac:dyDescent="0.3">
      <c r="A11" t="str">
        <f t="shared" si="0"/>
        <v>2014-2015</v>
      </c>
      <c r="B11">
        <v>11.31</v>
      </c>
      <c r="C11">
        <v>14</v>
      </c>
      <c r="D11">
        <v>2.69</v>
      </c>
      <c r="E11">
        <f t="shared" si="1"/>
        <v>0.39241351260522755</v>
      </c>
      <c r="F11">
        <f t="shared" si="2"/>
        <v>0.17877521606848804</v>
      </c>
      <c r="G11">
        <f t="shared" si="3"/>
        <v>0.88045519502763936</v>
      </c>
      <c r="H11">
        <v>0.98</v>
      </c>
      <c r="I11">
        <v>14.97</v>
      </c>
      <c r="J11">
        <v>3.64</v>
      </c>
      <c r="K11">
        <f t="shared" si="4"/>
        <v>1.3932611678317757</v>
      </c>
      <c r="L11">
        <f t="shared" si="5"/>
        <v>0.20248637811026729</v>
      </c>
      <c r="M11">
        <f t="shared" si="6"/>
        <v>-0.38476538741622796</v>
      </c>
      <c r="N11">
        <f t="shared" si="7"/>
        <v>0.44377101370452837</v>
      </c>
      <c r="O11">
        <f t="shared" si="8"/>
        <v>20</v>
      </c>
    </row>
    <row r="12" spans="1:15" x14ac:dyDescent="0.3">
      <c r="A12" t="str">
        <f t="shared" si="0"/>
        <v>2015-2016</v>
      </c>
      <c r="B12">
        <v>12.28</v>
      </c>
      <c r="C12">
        <v>14</v>
      </c>
      <c r="D12">
        <v>1.72</v>
      </c>
      <c r="E12">
        <f t="shared" si="1"/>
        <v>-0.76631131913622819</v>
      </c>
      <c r="F12">
        <f t="shared" si="2"/>
        <v>0.17877521606848804</v>
      </c>
      <c r="G12">
        <f t="shared" si="3"/>
        <v>-0.79249591011792564</v>
      </c>
      <c r="H12">
        <v>1.48</v>
      </c>
      <c r="I12">
        <v>15.49</v>
      </c>
      <c r="J12">
        <v>3.17</v>
      </c>
      <c r="K12">
        <f t="shared" si="4"/>
        <v>-0.32894052293679715</v>
      </c>
      <c r="L12">
        <f t="shared" si="5"/>
        <v>-0.25431586317970772</v>
      </c>
      <c r="M12">
        <f t="shared" si="6"/>
        <v>0.51717841350959404</v>
      </c>
      <c r="N12">
        <f t="shared" si="7"/>
        <v>-0.24101833096542946</v>
      </c>
      <c r="O12">
        <f t="shared" si="8"/>
        <v>5</v>
      </c>
    </row>
    <row r="13" spans="1:15" x14ac:dyDescent="0.3">
      <c r="A13" t="str">
        <f t="shared" si="0"/>
        <v>2016-2017</v>
      </c>
      <c r="B13">
        <v>11.91</v>
      </c>
      <c r="C13">
        <v>14.35</v>
      </c>
      <c r="D13">
        <v>2.44</v>
      </c>
      <c r="E13">
        <f t="shared" si="1"/>
        <v>-0.32432349671938465</v>
      </c>
      <c r="F13">
        <f t="shared" si="2"/>
        <v>0.52069502822133729</v>
      </c>
      <c r="G13">
        <f t="shared" si="3"/>
        <v>0.449282229783937</v>
      </c>
      <c r="H13">
        <v>1.78</v>
      </c>
      <c r="I13">
        <v>16.13</v>
      </c>
      <c r="J13">
        <v>4.17</v>
      </c>
      <c r="K13">
        <f t="shared" si="4"/>
        <v>-1.362261537397941</v>
      </c>
      <c r="L13">
        <f t="shared" si="5"/>
        <v>-0.81653400630583028</v>
      </c>
      <c r="M13">
        <f t="shared" si="6"/>
        <v>-1.4018509501623668</v>
      </c>
      <c r="N13">
        <f t="shared" si="7"/>
        <v>-0.48916545543004136</v>
      </c>
      <c r="O13">
        <f t="shared" si="8"/>
        <v>2</v>
      </c>
    </row>
    <row r="14" spans="1:15" x14ac:dyDescent="0.3">
      <c r="A14" t="str">
        <f t="shared" si="0"/>
        <v>2017-2018</v>
      </c>
      <c r="B14">
        <v>11.83</v>
      </c>
      <c r="C14">
        <v>14.25</v>
      </c>
      <c r="D14">
        <v>2.41</v>
      </c>
      <c r="E14">
        <f t="shared" si="1"/>
        <v>-0.22875856214276954</v>
      </c>
      <c r="F14">
        <f t="shared" si="2"/>
        <v>0.42300365332052348</v>
      </c>
      <c r="G14">
        <f t="shared" si="3"/>
        <v>0.39754147395469303</v>
      </c>
      <c r="H14">
        <v>1.47</v>
      </c>
      <c r="I14">
        <v>15.71</v>
      </c>
      <c r="J14">
        <v>3.83</v>
      </c>
      <c r="K14">
        <f t="shared" si="4"/>
        <v>-0.29449648912142568</v>
      </c>
      <c r="L14">
        <f t="shared" si="5"/>
        <v>-0.44757834987931328</v>
      </c>
      <c r="M14">
        <f t="shared" si="6"/>
        <v>-0.7493809665139004</v>
      </c>
      <c r="N14">
        <f t="shared" si="7"/>
        <v>-0.14994487339703208</v>
      </c>
      <c r="O14">
        <f t="shared" si="8"/>
        <v>6</v>
      </c>
    </row>
    <row r="15" spans="1:15" x14ac:dyDescent="0.3">
      <c r="A15" t="str">
        <f t="shared" si="0"/>
        <v>2018-2019</v>
      </c>
      <c r="B15">
        <v>11.78</v>
      </c>
      <c r="C15">
        <v>13.99</v>
      </c>
      <c r="D15">
        <v>2.2200000000000002</v>
      </c>
      <c r="E15">
        <f t="shared" si="1"/>
        <v>-0.16903047803238433</v>
      </c>
      <c r="F15">
        <f t="shared" si="2"/>
        <v>0.16900607857840683</v>
      </c>
      <c r="G15">
        <f t="shared" si="3"/>
        <v>6.9850020369479363E-2</v>
      </c>
      <c r="H15">
        <v>1.24</v>
      </c>
      <c r="I15">
        <v>15.23</v>
      </c>
      <c r="J15">
        <v>3.42</v>
      </c>
      <c r="K15">
        <f t="shared" si="4"/>
        <v>0.49771628863211781</v>
      </c>
      <c r="L15">
        <f t="shared" si="5"/>
        <v>-2.5914742534720221E-2</v>
      </c>
      <c r="M15">
        <f t="shared" si="6"/>
        <v>3.74210725916038E-2</v>
      </c>
      <c r="N15">
        <f t="shared" si="7"/>
        <v>9.6508039934083856E-2</v>
      </c>
      <c r="O15">
        <f t="shared" si="8"/>
        <v>11</v>
      </c>
    </row>
    <row r="16" spans="1:15" x14ac:dyDescent="0.3">
      <c r="A16" t="str">
        <f t="shared" si="0"/>
        <v>2019-2020</v>
      </c>
      <c r="B16">
        <v>11.1</v>
      </c>
      <c r="C16">
        <v>12.88</v>
      </c>
      <c r="D16">
        <v>1.78</v>
      </c>
      <c r="E16">
        <f t="shared" si="1"/>
        <v>0.64327146586884298</v>
      </c>
      <c r="F16">
        <f t="shared" si="2"/>
        <v>-0.91536818282062993</v>
      </c>
      <c r="G16">
        <f t="shared" si="3"/>
        <v>-0.68901439845943702</v>
      </c>
      <c r="H16">
        <v>1.19</v>
      </c>
      <c r="I16">
        <v>14.07</v>
      </c>
      <c r="J16">
        <v>2.93</v>
      </c>
      <c r="K16">
        <f t="shared" si="4"/>
        <v>0.66993645770897525</v>
      </c>
      <c r="L16">
        <f t="shared" si="5"/>
        <v>0.99310564188137884</v>
      </c>
      <c r="M16">
        <f t="shared" si="6"/>
        <v>0.97774546079086422</v>
      </c>
      <c r="N16">
        <f t="shared" si="7"/>
        <v>0.27994607416166573</v>
      </c>
      <c r="O16">
        <f t="shared" si="8"/>
        <v>16</v>
      </c>
    </row>
    <row r="17" spans="1:15" x14ac:dyDescent="0.3">
      <c r="A17" t="str">
        <f t="shared" si="0"/>
        <v>2020-2021</v>
      </c>
      <c r="B17">
        <v>12.65</v>
      </c>
      <c r="C17">
        <v>16</v>
      </c>
      <c r="D17">
        <v>3.35</v>
      </c>
      <c r="E17">
        <f t="shared" si="1"/>
        <v>-1.2082991415530737</v>
      </c>
      <c r="F17">
        <f t="shared" si="2"/>
        <v>2.1326027140847716</v>
      </c>
      <c r="G17">
        <f t="shared" si="3"/>
        <v>2.0187518232710135</v>
      </c>
      <c r="H17">
        <v>2</v>
      </c>
      <c r="I17">
        <v>18</v>
      </c>
      <c r="J17">
        <v>4.5599999999999996</v>
      </c>
      <c r="K17">
        <f t="shared" si="4"/>
        <v>-2.1200302813361129</v>
      </c>
      <c r="L17">
        <f t="shared" si="5"/>
        <v>-2.4592651432524733</v>
      </c>
      <c r="M17">
        <f t="shared" si="6"/>
        <v>-2.1502724019944308</v>
      </c>
      <c r="N17">
        <f t="shared" si="7"/>
        <v>-0.63108540513005085</v>
      </c>
      <c r="O17">
        <f t="shared" si="8"/>
        <v>1</v>
      </c>
    </row>
    <row r="18" spans="1:15" x14ac:dyDescent="0.3">
      <c r="A18" t="str">
        <f t="shared" si="0"/>
        <v>2021-2022</v>
      </c>
      <c r="B18">
        <v>12.62</v>
      </c>
      <c r="C18">
        <v>15.81</v>
      </c>
      <c r="D18">
        <v>3.2</v>
      </c>
      <c r="E18">
        <f t="shared" si="1"/>
        <v>-1.1724622910868419</v>
      </c>
      <c r="F18">
        <f t="shared" si="2"/>
        <v>1.946989101773225</v>
      </c>
      <c r="G18">
        <f t="shared" si="3"/>
        <v>1.7600480441247925</v>
      </c>
      <c r="H18">
        <v>1.84</v>
      </c>
      <c r="I18">
        <v>17.66</v>
      </c>
      <c r="J18">
        <v>4.04</v>
      </c>
      <c r="K18">
        <f t="shared" si="4"/>
        <v>-1.56892574029017</v>
      </c>
      <c r="L18">
        <f t="shared" si="5"/>
        <v>-2.1605867547167206</v>
      </c>
      <c r="M18">
        <f t="shared" si="6"/>
        <v>-1.1523771328850121</v>
      </c>
      <c r="N18">
        <f t="shared" si="7"/>
        <v>-0.39121912884678783</v>
      </c>
      <c r="O18">
        <f t="shared" si="8"/>
        <v>4</v>
      </c>
    </row>
    <row r="19" spans="1:15" x14ac:dyDescent="0.3">
      <c r="A19" t="str">
        <f t="shared" si="0"/>
        <v>2022-2023</v>
      </c>
      <c r="B19">
        <v>12.78</v>
      </c>
      <c r="C19">
        <v>13.67</v>
      </c>
      <c r="D19">
        <v>0.89</v>
      </c>
      <c r="E19">
        <f t="shared" si="1"/>
        <v>-1.363592160240072</v>
      </c>
      <c r="F19">
        <f t="shared" si="2"/>
        <v>-0.1436063211041988</v>
      </c>
      <c r="G19">
        <f t="shared" si="3"/>
        <v>-2.2239901547270171</v>
      </c>
      <c r="H19">
        <v>1.62</v>
      </c>
      <c r="I19">
        <v>15.28</v>
      </c>
      <c r="J19">
        <v>2.46</v>
      </c>
      <c r="K19">
        <f t="shared" si="4"/>
        <v>-0.81115699635199801</v>
      </c>
      <c r="L19">
        <f t="shared" si="5"/>
        <v>-6.9838034966447693E-2</v>
      </c>
      <c r="M19">
        <f t="shared" si="6"/>
        <v>1.8796892617166863</v>
      </c>
      <c r="N19">
        <f t="shared" si="7"/>
        <v>-0.45541573427884119</v>
      </c>
      <c r="O19">
        <f t="shared" si="8"/>
        <v>3</v>
      </c>
    </row>
    <row r="20" spans="1:15" x14ac:dyDescent="0.3">
      <c r="A20" t="str">
        <f t="shared" si="0"/>
        <v>2023-2024</v>
      </c>
      <c r="B20">
        <v>10.96</v>
      </c>
      <c r="C20">
        <v>12.56</v>
      </c>
      <c r="D20">
        <v>1.6</v>
      </c>
      <c r="E20">
        <f t="shared" si="1"/>
        <v>0.81051010137791779</v>
      </c>
      <c r="F20">
        <f t="shared" si="2"/>
        <v>-1.2279805825032355</v>
      </c>
      <c r="G20">
        <f t="shared" si="3"/>
        <v>-0.99945893343490266</v>
      </c>
      <c r="H20">
        <v>1.49</v>
      </c>
      <c r="I20">
        <v>14.05</v>
      </c>
      <c r="J20">
        <v>3.02</v>
      </c>
      <c r="K20">
        <f t="shared" si="4"/>
        <v>-0.36338455675216863</v>
      </c>
      <c r="L20">
        <f t="shared" si="5"/>
        <v>1.0106749588540698</v>
      </c>
      <c r="M20">
        <f t="shared" si="6"/>
        <v>0.80503281806038796</v>
      </c>
      <c r="N20">
        <f t="shared" si="7"/>
        <v>5.8989676003447511E-3</v>
      </c>
      <c r="O20">
        <f t="shared" si="8"/>
        <v>10</v>
      </c>
    </row>
    <row r="21" spans="1:15" x14ac:dyDescent="0.3">
      <c r="A21" t="str">
        <f t="shared" si="0"/>
        <v>2024-2025</v>
      </c>
      <c r="B21">
        <v>10</v>
      </c>
      <c r="C21">
        <v>12.49</v>
      </c>
      <c r="D21">
        <v>2.4900000000000002</v>
      </c>
      <c r="E21">
        <f t="shared" si="1"/>
        <v>1.9572893162972991</v>
      </c>
      <c r="F21">
        <f t="shared" si="2"/>
        <v>-1.2963645449338057</v>
      </c>
      <c r="G21">
        <f t="shared" si="3"/>
        <v>0.53551682283267787</v>
      </c>
      <c r="H21">
        <v>1.43</v>
      </c>
      <c r="I21">
        <v>13.92</v>
      </c>
      <c r="J21">
        <v>3.86</v>
      </c>
      <c r="K21">
        <f t="shared" si="4"/>
        <v>-0.15672035385993971</v>
      </c>
      <c r="L21">
        <f t="shared" si="5"/>
        <v>1.1248755191765645</v>
      </c>
      <c r="M21">
        <f t="shared" si="6"/>
        <v>-0.8069518474240589</v>
      </c>
      <c r="N21">
        <f t="shared" si="7"/>
        <v>0.22627415201478954</v>
      </c>
      <c r="O21">
        <f t="shared" si="8"/>
        <v>14</v>
      </c>
    </row>
    <row r="23" spans="1:15" x14ac:dyDescent="0.3">
      <c r="A23" s="15" t="s">
        <v>31</v>
      </c>
      <c r="B23">
        <f>AVERAGE(B2:B21)</f>
        <v>11.638500000000002</v>
      </c>
      <c r="C23">
        <f>AVERAGE(C2:C21)</f>
        <v>13.817000000000002</v>
      </c>
      <c r="D23">
        <f>AVERAGE(D2:D21)</f>
        <v>2.1795000000000004</v>
      </c>
      <c r="H23">
        <f>AVERAGE(H2:H21)</f>
        <v>1.3845000000000001</v>
      </c>
      <c r="I23">
        <f>AVERAGE(I2:I21)</f>
        <v>15.2005</v>
      </c>
      <c r="J23">
        <f>AVERAGE(J2:J21)</f>
        <v>3.4395000000000002</v>
      </c>
    </row>
    <row r="24" spans="1:15" x14ac:dyDescent="0.3">
      <c r="A24" s="15" t="s">
        <v>11</v>
      </c>
      <c r="B24">
        <f>_xlfn.STDEV.S(B2:B21)</f>
        <v>0.8371271361658652</v>
      </c>
      <c r="C24">
        <f>_xlfn.STDEV.S(C2:C21)</f>
        <v>1.023631821146235</v>
      </c>
      <c r="D24">
        <f>_xlfn.STDEV.S(D2:D21)</f>
        <v>0.57981371781669577</v>
      </c>
      <c r="H24">
        <f>_xlfn.STDEV.S(H2:H21)</f>
        <v>0.29032604176393723</v>
      </c>
      <c r="I24">
        <f>_xlfn.STDEV.S(I2:I21)</f>
        <v>1.1383481800167154</v>
      </c>
      <c r="J24">
        <f>_xlfn.STDEV.S(J2:J21)</f>
        <v>0.52109676846557107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C662-6E71-40F5-B5FA-F12BD4B2F67C}">
  <dimension ref="A1:I21"/>
  <sheetViews>
    <sheetView tabSelected="1" zoomScale="86" workbookViewId="0">
      <selection activeCell="H25" sqref="H25"/>
    </sheetView>
  </sheetViews>
  <sheetFormatPr defaultRowHeight="14.4" x14ac:dyDescent="0.3"/>
  <cols>
    <col min="1" max="1" width="11.33203125" customWidth="1"/>
    <col min="2" max="2" width="18.44140625" customWidth="1"/>
    <col min="3" max="3" width="11.44140625" customWidth="1"/>
    <col min="7" max="7" width="10.88671875" customWidth="1"/>
    <col min="8" max="8" width="12" customWidth="1"/>
    <col min="9" max="9" width="18.44140625" customWidth="1"/>
  </cols>
  <sheetData>
    <row r="1" spans="1:9" x14ac:dyDescent="0.3">
      <c r="A1" s="15" t="s">
        <v>0</v>
      </c>
      <c r="B1" s="15" t="s">
        <v>35</v>
      </c>
      <c r="C1" s="15" t="s">
        <v>36</v>
      </c>
    </row>
    <row r="2" spans="1:9" x14ac:dyDescent="0.3">
      <c r="A2" t="s">
        <v>7</v>
      </c>
      <c r="B2" s="22">
        <v>0.36402616599999998</v>
      </c>
      <c r="C2" s="22">
        <v>19</v>
      </c>
    </row>
    <row r="3" spans="1:9" x14ac:dyDescent="0.3">
      <c r="A3" t="str">
        <f t="shared" ref="A3:A21" si="0">LEFT(A2,4)+1&amp;"-"&amp;RIGHT(A2,4)+1</f>
        <v>2006-2007</v>
      </c>
      <c r="B3" s="22">
        <v>0.29943883599999999</v>
      </c>
      <c r="C3" s="22">
        <v>17</v>
      </c>
      <c r="G3" s="15" t="s">
        <v>38</v>
      </c>
      <c r="H3" s="15"/>
      <c r="I3" s="15"/>
    </row>
    <row r="4" spans="1:9" x14ac:dyDescent="0.3">
      <c r="A4" t="str">
        <f t="shared" si="0"/>
        <v>2007-2008</v>
      </c>
      <c r="B4" s="22">
        <v>-6.9327293999999998E-2</v>
      </c>
      <c r="C4" s="22">
        <v>8</v>
      </c>
      <c r="G4" t="s">
        <v>36</v>
      </c>
      <c r="H4" t="s">
        <v>0</v>
      </c>
      <c r="I4" t="s">
        <v>35</v>
      </c>
    </row>
    <row r="5" spans="1:9" x14ac:dyDescent="0.3">
      <c r="A5" t="str">
        <f t="shared" si="0"/>
        <v>2008-2009</v>
      </c>
      <c r="B5" s="22">
        <v>-7.2341039999999995E-2</v>
      </c>
      <c r="C5" s="22">
        <v>7</v>
      </c>
      <c r="G5">
        <v>1</v>
      </c>
      <c r="H5" s="1" t="str">
        <f>INDEX($A$2:$A$21,MATCH(G5,$C$2:$C$21,0))</f>
        <v>2020-2021</v>
      </c>
      <c r="I5">
        <f>INDEX($B$2:$B$21,MATCH(G5,$C$2:$C$21,0))</f>
        <v>-0.63108540499999999</v>
      </c>
    </row>
    <row r="6" spans="1:9" x14ac:dyDescent="0.3">
      <c r="A6" t="str">
        <f t="shared" si="0"/>
        <v>2009-2010</v>
      </c>
      <c r="B6" s="22">
        <v>0.14328518600000001</v>
      </c>
      <c r="C6" s="22">
        <v>13</v>
      </c>
      <c r="G6">
        <v>2</v>
      </c>
      <c r="H6" s="1" t="str">
        <f t="shared" ref="H6:H9" si="1">INDEX($A$2:$A$21,MATCH(G6,$C$2:$C$21,0))</f>
        <v>2016-2017</v>
      </c>
      <c r="I6">
        <f t="shared" ref="I6:I9" si="2">INDEX($B$2:$B$21,MATCH(G6,$C$2:$C$21,0))</f>
        <v>-0.48916545500000003</v>
      </c>
    </row>
    <row r="7" spans="1:9" x14ac:dyDescent="0.3">
      <c r="A7" t="str">
        <f t="shared" si="0"/>
        <v>2010-2011</v>
      </c>
      <c r="B7" s="22">
        <v>-4.4761304000000002E-2</v>
      </c>
      <c r="C7" s="22">
        <v>9</v>
      </c>
      <c r="G7">
        <v>3</v>
      </c>
      <c r="H7" s="1" t="str">
        <f t="shared" si="1"/>
        <v>2022-2023</v>
      </c>
      <c r="I7">
        <f t="shared" si="2"/>
        <v>-0.45541573400000002</v>
      </c>
    </row>
    <row r="8" spans="1:9" x14ac:dyDescent="0.3">
      <c r="A8" t="str">
        <f t="shared" si="0"/>
        <v>2011-2012</v>
      </c>
      <c r="B8" s="22">
        <v>0.24160543700000001</v>
      </c>
      <c r="C8" s="22">
        <v>15</v>
      </c>
      <c r="G8">
        <v>4</v>
      </c>
      <c r="H8" s="1" t="str">
        <f t="shared" si="1"/>
        <v>2021-2022</v>
      </c>
      <c r="I8">
        <f t="shared" si="2"/>
        <v>-0.391219129</v>
      </c>
    </row>
    <row r="9" spans="1:9" x14ac:dyDescent="0.3">
      <c r="A9" t="str">
        <f t="shared" si="0"/>
        <v>2012-2013</v>
      </c>
      <c r="B9" s="22">
        <v>0.130729291</v>
      </c>
      <c r="C9" s="22">
        <v>12</v>
      </c>
      <c r="G9">
        <v>5</v>
      </c>
      <c r="H9" s="1" t="str">
        <f t="shared" si="1"/>
        <v>2015-2016</v>
      </c>
      <c r="I9">
        <f t="shared" si="2"/>
        <v>-0.241018331</v>
      </c>
    </row>
    <row r="10" spans="1:9" x14ac:dyDescent="0.3">
      <c r="A10" t="str">
        <f t="shared" si="0"/>
        <v>2013-2014</v>
      </c>
      <c r="B10" s="22">
        <v>0.312795404</v>
      </c>
      <c r="C10" s="22">
        <v>18</v>
      </c>
    </row>
    <row r="11" spans="1:9" x14ac:dyDescent="0.3">
      <c r="A11" t="str">
        <f t="shared" si="0"/>
        <v>2014-2015</v>
      </c>
      <c r="B11" s="22">
        <v>0.44377101400000002</v>
      </c>
      <c r="C11" s="22">
        <v>20</v>
      </c>
    </row>
    <row r="12" spans="1:9" x14ac:dyDescent="0.3">
      <c r="A12" t="str">
        <f t="shared" si="0"/>
        <v>2015-2016</v>
      </c>
      <c r="B12" s="22">
        <v>-0.241018331</v>
      </c>
      <c r="C12" s="22">
        <v>5</v>
      </c>
    </row>
    <row r="13" spans="1:9" x14ac:dyDescent="0.3">
      <c r="A13" t="str">
        <f t="shared" si="0"/>
        <v>2016-2017</v>
      </c>
      <c r="B13" s="22">
        <v>-0.48916545500000003</v>
      </c>
      <c r="C13" s="22">
        <v>2</v>
      </c>
      <c r="G13" s="15" t="s">
        <v>39</v>
      </c>
      <c r="H13" s="15"/>
      <c r="I13" s="15"/>
    </row>
    <row r="14" spans="1:9" x14ac:dyDescent="0.3">
      <c r="A14" t="str">
        <f t="shared" si="0"/>
        <v>2017-2018</v>
      </c>
      <c r="B14" s="22">
        <v>-0.14994487300000001</v>
      </c>
      <c r="C14" s="22">
        <v>6</v>
      </c>
      <c r="G14" t="s">
        <v>36</v>
      </c>
      <c r="H14" t="s">
        <v>0</v>
      </c>
      <c r="I14" t="s">
        <v>35</v>
      </c>
    </row>
    <row r="15" spans="1:9" x14ac:dyDescent="0.3">
      <c r="A15" t="str">
        <f t="shared" si="0"/>
        <v>2018-2019</v>
      </c>
      <c r="B15" s="22">
        <v>9.6508040000000003E-2</v>
      </c>
      <c r="C15" s="22">
        <v>11</v>
      </c>
      <c r="G15">
        <v>20</v>
      </c>
      <c r="H15" s="1" t="str">
        <f>INDEX($A$2:$A$21,MATCH(G15,$C$2:$C$21,0))</f>
        <v>2014-2015</v>
      </c>
      <c r="I15">
        <f>INDEX($B$2:$B$21,MATCH(G15,$C$2:$C$21,0))</f>
        <v>0.44377101400000002</v>
      </c>
    </row>
    <row r="16" spans="1:9" x14ac:dyDescent="0.3">
      <c r="A16" t="str">
        <f t="shared" si="0"/>
        <v>2019-2020</v>
      </c>
      <c r="B16" s="22">
        <v>0.27994607399999999</v>
      </c>
      <c r="C16" s="22">
        <v>16</v>
      </c>
      <c r="G16">
        <v>19</v>
      </c>
      <c r="H16" s="1" t="str">
        <f t="shared" ref="H16:H19" si="3">INDEX($A$2:$A$21,MATCH(G16,$C$2:$C$21,0))</f>
        <v>2005-2006</v>
      </c>
      <c r="I16">
        <f t="shared" ref="I16:I19" si="4">INDEX($B$2:$B$21,MATCH(G16,$C$2:$C$21,0))</f>
        <v>0.36402616599999998</v>
      </c>
    </row>
    <row r="17" spans="1:9" x14ac:dyDescent="0.3">
      <c r="A17" t="str">
        <f t="shared" si="0"/>
        <v>2020-2021</v>
      </c>
      <c r="B17" s="22">
        <v>-0.63108540499999999</v>
      </c>
      <c r="C17" s="22">
        <v>1</v>
      </c>
      <c r="G17">
        <v>18</v>
      </c>
      <c r="H17" s="1" t="str">
        <f t="shared" si="3"/>
        <v>2013-2014</v>
      </c>
      <c r="I17">
        <f t="shared" si="4"/>
        <v>0.312795404</v>
      </c>
    </row>
    <row r="18" spans="1:9" x14ac:dyDescent="0.3">
      <c r="A18" t="str">
        <f t="shared" si="0"/>
        <v>2021-2022</v>
      </c>
      <c r="B18" s="22">
        <v>-0.391219129</v>
      </c>
      <c r="C18" s="22">
        <v>4</v>
      </c>
      <c r="G18">
        <v>17</v>
      </c>
      <c r="H18" s="1" t="str">
        <f t="shared" si="3"/>
        <v>2006-2007</v>
      </c>
      <c r="I18">
        <f t="shared" si="4"/>
        <v>0.29943883599999999</v>
      </c>
    </row>
    <row r="19" spans="1:9" x14ac:dyDescent="0.3">
      <c r="A19" t="str">
        <f t="shared" si="0"/>
        <v>2022-2023</v>
      </c>
      <c r="B19" s="22">
        <v>-0.45541573400000002</v>
      </c>
      <c r="C19" s="22">
        <v>3</v>
      </c>
      <c r="G19">
        <v>16</v>
      </c>
      <c r="H19" s="1" t="str">
        <f t="shared" si="3"/>
        <v>2019-2020</v>
      </c>
      <c r="I19">
        <f t="shared" si="4"/>
        <v>0.27994607399999999</v>
      </c>
    </row>
    <row r="20" spans="1:9" x14ac:dyDescent="0.3">
      <c r="A20" t="str">
        <f t="shared" si="0"/>
        <v>2023-2024</v>
      </c>
      <c r="B20" s="22">
        <v>5.8989680000000001E-3</v>
      </c>
      <c r="C20" s="22">
        <v>10</v>
      </c>
    </row>
    <row r="21" spans="1:9" x14ac:dyDescent="0.3">
      <c r="A21" t="str">
        <f t="shared" si="0"/>
        <v>2024-2025</v>
      </c>
      <c r="B21" s="22">
        <v>0.22627415200000001</v>
      </c>
      <c r="C21" s="22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ANALYSIS</vt:lpstr>
      <vt:lpstr>CHARTS</vt:lpstr>
      <vt:lpstr>CORRELATION</vt:lpstr>
      <vt:lpstr>PERIOD ANALYSIS</vt:lpstr>
      <vt:lpstr>GROWTH</vt:lpstr>
      <vt:lpstr>GROWTH CHARTS</vt:lpstr>
      <vt:lpstr>FISCAL STRESS SCORE</vt:lpstr>
      <vt:lpstr>FISCAL STRESS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Lina</dc:creator>
  <cp:lastModifiedBy>Fathima Lina</cp:lastModifiedBy>
  <cp:lastPrinted>2026-06-25T06:45:52Z</cp:lastPrinted>
  <dcterms:created xsi:type="dcterms:W3CDTF">2026-06-10T05:51:48Z</dcterms:created>
  <dcterms:modified xsi:type="dcterms:W3CDTF">2026-08-10T10:08:49Z</dcterms:modified>
</cp:coreProperties>
</file>